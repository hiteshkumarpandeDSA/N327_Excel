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N327_Excel\"/>
    </mc:Choice>
  </mc:AlternateContent>
  <xr:revisionPtr revIDLastSave="0" documentId="13_ncr:1_{D736258F-2614-40A3-BCF1-3AC0F80BEB40}" xr6:coauthVersionLast="47" xr6:coauthVersionMax="47" xr10:uidLastSave="{00000000-0000-0000-0000-000000000000}"/>
  <bookViews>
    <workbookView xWindow="-110" yWindow="-110" windowWidth="19420" windowHeight="10420" activeTab="2" xr2:uid="{AD6C997B-D305-4C51-8C4D-0A33C7475563}"/>
  </bookViews>
  <sheets>
    <sheet name="Sheet1" sheetId="1" r:id="rId1"/>
    <sheet name="Sheet2" sheetId="2" r:id="rId2"/>
    <sheet name="LOGICAL OPERATO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8" i="3" l="1"/>
  <c r="G29" i="3"/>
  <c r="G30" i="3"/>
  <c r="G31" i="3"/>
  <c r="G27" i="3"/>
  <c r="F28" i="3"/>
  <c r="F29" i="3"/>
  <c r="F30" i="3"/>
  <c r="F31" i="3"/>
  <c r="F27" i="3"/>
  <c r="E28" i="3"/>
  <c r="E29" i="3"/>
  <c r="E30" i="3"/>
  <c r="E31" i="3"/>
  <c r="E27" i="3"/>
  <c r="D28" i="3"/>
  <c r="D29" i="3"/>
  <c r="D30" i="3"/>
  <c r="D27" i="3"/>
  <c r="C28" i="3"/>
  <c r="C29" i="3"/>
  <c r="C30" i="3"/>
  <c r="C27" i="3"/>
  <c r="E22" i="3"/>
  <c r="E23" i="3"/>
  <c r="E24" i="3"/>
  <c r="E21" i="3"/>
  <c r="D22" i="3"/>
  <c r="D23" i="3"/>
  <c r="D24" i="3"/>
  <c r="D21" i="3"/>
  <c r="H13" i="3"/>
  <c r="H12" i="3"/>
  <c r="H11" i="3"/>
  <c r="G13" i="3"/>
  <c r="G12" i="3"/>
  <c r="G11" i="3"/>
  <c r="F13" i="3"/>
  <c r="F12" i="3"/>
  <c r="F11" i="3"/>
  <c r="D7" i="3"/>
  <c r="D6" i="3"/>
  <c r="D5" i="3"/>
  <c r="D4" i="3"/>
  <c r="D3" i="3"/>
  <c r="D2" i="3"/>
  <c r="F5" i="2"/>
  <c r="H3" i="1"/>
  <c r="H4" i="1"/>
  <c r="H5" i="1"/>
  <c r="H6" i="1"/>
  <c r="H7" i="1"/>
  <c r="H8" i="1"/>
  <c r="H2" i="1"/>
  <c r="G3" i="1"/>
  <c r="G4" i="1"/>
  <c r="G5" i="1"/>
  <c r="G6" i="1"/>
  <c r="G7" i="1"/>
  <c r="G8" i="1"/>
  <c r="G2" i="1"/>
  <c r="F3" i="1"/>
  <c r="F4" i="1"/>
  <c r="F5" i="1"/>
  <c r="F6" i="1"/>
  <c r="F7" i="1"/>
  <c r="F8" i="1"/>
  <c r="F2" i="1"/>
</calcChain>
</file>

<file path=xl/sharedStrings.xml><?xml version="1.0" encoding="utf-8"?>
<sst xmlns="http://schemas.openxmlformats.org/spreadsheetml/2006/main" count="94" uniqueCount="88">
  <si>
    <t>Name</t>
  </si>
  <si>
    <t>Eng</t>
  </si>
  <si>
    <t>Hindi</t>
  </si>
  <si>
    <t>Maths</t>
  </si>
  <si>
    <t>Science</t>
  </si>
  <si>
    <t>Total</t>
  </si>
  <si>
    <t>Percentage</t>
  </si>
  <si>
    <t>Result</t>
  </si>
  <si>
    <t>Rahul</t>
  </si>
  <si>
    <t>Gaurav</t>
  </si>
  <si>
    <t>Himanshu</t>
  </si>
  <si>
    <t>Gautam</t>
  </si>
  <si>
    <t>Siddharth</t>
  </si>
  <si>
    <t>Abhinav</t>
  </si>
  <si>
    <t>Kunal</t>
  </si>
  <si>
    <t>Student Name</t>
  </si>
  <si>
    <t>Submission Date</t>
  </si>
  <si>
    <t>Amit</t>
  </si>
  <si>
    <t>Bhargav</t>
  </si>
  <si>
    <t>Chinoy</t>
  </si>
  <si>
    <t>Durgesh</t>
  </si>
  <si>
    <t>Evan</t>
  </si>
  <si>
    <t>Faisal</t>
  </si>
  <si>
    <t>Ishaan</t>
  </si>
  <si>
    <t>Jay</t>
  </si>
  <si>
    <t>Kamal</t>
  </si>
  <si>
    <t>Lokesh</t>
  </si>
  <si>
    <t>Manish</t>
  </si>
  <si>
    <t>Naina</t>
  </si>
  <si>
    <t>Om</t>
  </si>
  <si>
    <t>Prakash</t>
  </si>
  <si>
    <t>Qureshi</t>
  </si>
  <si>
    <t>Raj</t>
  </si>
  <si>
    <t>Satish</t>
  </si>
  <si>
    <t>Twinkle</t>
  </si>
  <si>
    <t>Urvashi</t>
  </si>
  <si>
    <t>Vivaan</t>
  </si>
  <si>
    <t>Meanings</t>
  </si>
  <si>
    <t>Example</t>
  </si>
  <si>
    <t>Results</t>
  </si>
  <si>
    <t>=</t>
  </si>
  <si>
    <t>Equals to</t>
  </si>
  <si>
    <t>&lt;</t>
  </si>
  <si>
    <t>Less Than</t>
  </si>
  <si>
    <t>Less Than Equals to</t>
  </si>
  <si>
    <t>&lt;=</t>
  </si>
  <si>
    <t>&gt;=</t>
  </si>
  <si>
    <t>Greater than equals to</t>
  </si>
  <si>
    <t>&gt;</t>
  </si>
  <si>
    <t>Greater than</t>
  </si>
  <si>
    <t>&lt;&gt;</t>
  </si>
  <si>
    <t>Logical Operators</t>
  </si>
  <si>
    <t>G5=10</t>
  </si>
  <si>
    <t>G5&lt;15</t>
  </si>
  <si>
    <t>G5&lt;=15</t>
  </si>
  <si>
    <t>G5&gt;=15</t>
  </si>
  <si>
    <t>G5&lt;&gt;15</t>
  </si>
  <si>
    <t>G5&gt;19</t>
  </si>
  <si>
    <t xml:space="preserve">Not </t>
  </si>
  <si>
    <t>Relational Operators</t>
  </si>
  <si>
    <t>AND</t>
  </si>
  <si>
    <t>OR</t>
  </si>
  <si>
    <t>NOT</t>
  </si>
  <si>
    <r>
      <t xml:space="preserve">If </t>
    </r>
    <r>
      <rPr>
        <sz val="11"/>
        <color rgb="FFFF0000"/>
        <rFont val="Aptos Narrow"/>
        <family val="2"/>
        <scheme val="minor"/>
      </rPr>
      <t>all condition is True</t>
    </r>
    <r>
      <rPr>
        <sz val="11"/>
        <color theme="1"/>
        <rFont val="Aptos Narrow"/>
        <family val="2"/>
        <scheme val="minor"/>
      </rPr>
      <t xml:space="preserve"> then it returns </t>
    </r>
    <r>
      <rPr>
        <sz val="11"/>
        <color rgb="FFFF0000"/>
        <rFont val="Aptos Narrow"/>
        <family val="2"/>
        <scheme val="minor"/>
      </rPr>
      <t>True</t>
    </r>
    <r>
      <rPr>
        <sz val="11"/>
        <color theme="1"/>
        <rFont val="Aptos Narrow"/>
        <family val="2"/>
        <scheme val="minor"/>
      </rPr>
      <t xml:space="preserve"> otherwise </t>
    </r>
    <r>
      <rPr>
        <sz val="11"/>
        <color rgb="FFFF0000"/>
        <rFont val="Aptos Narrow"/>
        <family val="2"/>
        <scheme val="minor"/>
      </rPr>
      <t>False</t>
    </r>
  </si>
  <si>
    <r>
      <t xml:space="preserve">If </t>
    </r>
    <r>
      <rPr>
        <sz val="11"/>
        <color rgb="FFFF0000"/>
        <rFont val="Aptos Narrow"/>
        <family val="2"/>
        <scheme val="minor"/>
      </rPr>
      <t>any of the condition is True</t>
    </r>
    <r>
      <rPr>
        <sz val="11"/>
        <color theme="1"/>
        <rFont val="Aptos Narrow"/>
        <family val="2"/>
        <scheme val="minor"/>
      </rPr>
      <t xml:space="preserve"> it returns </t>
    </r>
    <r>
      <rPr>
        <sz val="11"/>
        <color rgb="FFFF0000"/>
        <rFont val="Aptos Narrow"/>
        <family val="2"/>
        <scheme val="minor"/>
      </rPr>
      <t>True</t>
    </r>
    <r>
      <rPr>
        <sz val="11"/>
        <color theme="1"/>
        <rFont val="Aptos Narrow"/>
        <family val="2"/>
        <scheme val="minor"/>
      </rPr>
      <t xml:space="preserve"> otherwise </t>
    </r>
    <r>
      <rPr>
        <sz val="11"/>
        <color rgb="FFFF0000"/>
        <rFont val="Aptos Narrow"/>
        <family val="2"/>
        <scheme val="minor"/>
      </rPr>
      <t>False</t>
    </r>
  </si>
  <si>
    <t>It just reverse the results</t>
  </si>
  <si>
    <t>Products</t>
  </si>
  <si>
    <t>Instock</t>
  </si>
  <si>
    <t>Sold</t>
  </si>
  <si>
    <t>Formula</t>
  </si>
  <si>
    <t>Banana</t>
  </si>
  <si>
    <t>Oranges</t>
  </si>
  <si>
    <t>Apple</t>
  </si>
  <si>
    <t>IF Formula with AND operator</t>
  </si>
  <si>
    <t>IF formula with OR operator</t>
  </si>
  <si>
    <t>sub2</t>
  </si>
  <si>
    <t>Akash</t>
  </si>
  <si>
    <t>Heena</t>
  </si>
  <si>
    <t>sub1</t>
  </si>
  <si>
    <t>Not Operator</t>
  </si>
  <si>
    <t>Num1</t>
  </si>
  <si>
    <t>Num2</t>
  </si>
  <si>
    <t>div</t>
  </si>
  <si>
    <t>div with iferror()</t>
  </si>
  <si>
    <t>add with iferror()</t>
  </si>
  <si>
    <t>apple</t>
  </si>
  <si>
    <t>Multiply with iferror()</t>
  </si>
  <si>
    <t>iferror with subtraction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</si>
</sst>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2" fillId="2" borderId="0" xfId="0" applyFont="1" applyFill="1"/>
    <xf numFmtId="14" fontId="0" fillId="0" borderId="0" xfId="0" applyNumberFormat="1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0" borderId="1" xfId="0" applyFont="1" applyBorder="1"/>
    <xf numFmtId="0" fontId="1" fillId="0" borderId="1" xfId="0" applyFont="1" applyFill="1" applyBorder="1"/>
    <xf numFmtId="0" fontId="1" fillId="0" borderId="2" xfId="0" applyFont="1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2" borderId="0" xfId="0" applyFill="1"/>
    <xf numFmtId="0" fontId="1" fillId="2" borderId="0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ill>
        <patternFill>
          <bgColor theme="9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37AAA-D786-4AB1-85D2-DFF9401F6D2E}">
  <dimension ref="A1:H8"/>
  <sheetViews>
    <sheetView zoomScale="118" workbookViewId="0">
      <selection activeCell="H2" sqref="H2"/>
    </sheetView>
  </sheetViews>
  <sheetFormatPr defaultRowHeight="14.5" x14ac:dyDescent="0.35"/>
  <cols>
    <col min="1" max="1" width="29.36328125" customWidth="1"/>
    <col min="2" max="2" width="12.453125" customWidth="1"/>
    <col min="3" max="3" width="13.6328125" customWidth="1"/>
    <col min="4" max="4" width="12.90625" customWidth="1"/>
    <col min="5" max="5" width="12.1796875" customWidth="1"/>
    <col min="6" max="6" width="13.6328125" customWidth="1"/>
    <col min="7" max="7" width="14" customWidth="1"/>
    <col min="8" max="8" width="11.9062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>
        <v>46</v>
      </c>
      <c r="C2">
        <v>75</v>
      </c>
      <c r="D2">
        <v>98</v>
      </c>
      <c r="E2">
        <v>31</v>
      </c>
      <c r="F2">
        <f>SUM(B2:E2)</f>
        <v>250</v>
      </c>
      <c r="G2">
        <f>(F2/400)*100</f>
        <v>62.5</v>
      </c>
      <c r="H2" t="str">
        <f>IF(AND(B2&gt;40,C2&gt;40,D2&gt;40,E2&gt;40),"Pass","Fail")</f>
        <v>Fail</v>
      </c>
    </row>
    <row r="3" spans="1:8" x14ac:dyDescent="0.35">
      <c r="A3" t="s">
        <v>9</v>
      </c>
      <c r="B3">
        <v>35</v>
      </c>
      <c r="C3">
        <v>67</v>
      </c>
      <c r="D3">
        <v>76</v>
      </c>
      <c r="E3">
        <v>42</v>
      </c>
      <c r="F3">
        <f t="shared" ref="F3:F8" si="0">SUM(B3:E3)</f>
        <v>220</v>
      </c>
      <c r="G3">
        <f t="shared" ref="G3:G8" si="1">(F3/400)*100</f>
        <v>55.000000000000007</v>
      </c>
      <c r="H3" t="str">
        <f t="shared" ref="H3:H8" si="2">IF(AND(B3&gt;40,C3&gt;40,D3&gt;40,E3&gt;40),"Pass","Fail")</f>
        <v>Fail</v>
      </c>
    </row>
    <row r="4" spans="1:8" x14ac:dyDescent="0.35">
      <c r="A4" t="s">
        <v>10</v>
      </c>
      <c r="B4">
        <v>67</v>
      </c>
      <c r="C4">
        <v>47</v>
      </c>
      <c r="D4">
        <v>43</v>
      </c>
      <c r="E4">
        <v>35</v>
      </c>
      <c r="F4">
        <f t="shared" si="0"/>
        <v>192</v>
      </c>
      <c r="G4">
        <f t="shared" si="1"/>
        <v>48</v>
      </c>
      <c r="H4" t="str">
        <f t="shared" si="2"/>
        <v>Fail</v>
      </c>
    </row>
    <row r="5" spans="1:8" x14ac:dyDescent="0.35">
      <c r="A5" t="s">
        <v>11</v>
      </c>
      <c r="B5">
        <v>87</v>
      </c>
      <c r="C5">
        <v>42</v>
      </c>
      <c r="D5">
        <v>31</v>
      </c>
      <c r="E5">
        <v>56</v>
      </c>
      <c r="F5">
        <f t="shared" si="0"/>
        <v>216</v>
      </c>
      <c r="G5">
        <f t="shared" si="1"/>
        <v>54</v>
      </c>
      <c r="H5" t="str">
        <f t="shared" si="2"/>
        <v>Fail</v>
      </c>
    </row>
    <row r="6" spans="1:8" x14ac:dyDescent="0.35">
      <c r="A6" t="s">
        <v>12</v>
      </c>
      <c r="B6">
        <v>58</v>
      </c>
      <c r="C6">
        <v>89</v>
      </c>
      <c r="D6">
        <v>45</v>
      </c>
      <c r="E6">
        <v>84</v>
      </c>
      <c r="F6">
        <f t="shared" si="0"/>
        <v>276</v>
      </c>
      <c r="G6">
        <f t="shared" si="1"/>
        <v>69</v>
      </c>
      <c r="H6" t="str">
        <f t="shared" si="2"/>
        <v>Pass</v>
      </c>
    </row>
    <row r="7" spans="1:8" x14ac:dyDescent="0.35">
      <c r="A7" t="s">
        <v>13</v>
      </c>
      <c r="B7">
        <v>89</v>
      </c>
      <c r="C7">
        <v>37</v>
      </c>
      <c r="D7">
        <v>51</v>
      </c>
      <c r="E7">
        <v>41</v>
      </c>
      <c r="F7">
        <f t="shared" si="0"/>
        <v>218</v>
      </c>
      <c r="G7">
        <f t="shared" si="1"/>
        <v>54.500000000000007</v>
      </c>
      <c r="H7" t="str">
        <f t="shared" si="2"/>
        <v>Fail</v>
      </c>
    </row>
    <row r="8" spans="1:8" x14ac:dyDescent="0.35">
      <c r="A8" t="s">
        <v>14</v>
      </c>
      <c r="B8">
        <v>82</v>
      </c>
      <c r="C8">
        <v>68</v>
      </c>
      <c r="D8">
        <v>31</v>
      </c>
      <c r="E8">
        <v>42</v>
      </c>
      <c r="F8">
        <f t="shared" si="0"/>
        <v>223</v>
      </c>
      <c r="G8">
        <f t="shared" si="1"/>
        <v>55.75</v>
      </c>
      <c r="H8" t="str">
        <f t="shared" si="2"/>
        <v>Fail</v>
      </c>
    </row>
  </sheetData>
  <conditionalFormatting sqref="B2:E8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{5C391DFE-A61F-4369-8EE6-3537ABFAA461}</x14:id>
        </ext>
      </extLst>
    </cfRule>
    <cfRule type="cellIs" dxfId="4" priority="2" operator="lessThan">
      <formula>40</formula>
    </cfRule>
  </conditionalFormatting>
  <conditionalFormatting sqref="H2:H8">
    <cfRule type="cellIs" dxfId="3" priority="3" operator="equal">
      <formula>"Pass"</formula>
    </cfRule>
    <cfRule type="cellIs" dxfId="2" priority="4" operator="equal">
      <formula>"Fail"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391DFE-A61F-4369-8EE6-3537ABFAA4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B2:E8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BC048-1EB4-4FB2-AC74-6608647083D7}">
  <dimension ref="A1:F22"/>
  <sheetViews>
    <sheetView zoomScale="119" workbookViewId="0">
      <selection activeCell="D5" sqref="D5"/>
    </sheetView>
  </sheetViews>
  <sheetFormatPr defaultRowHeight="14.5" x14ac:dyDescent="0.35"/>
  <cols>
    <col min="1" max="1" width="14.7265625" customWidth="1"/>
    <col min="2" max="2" width="18.453125" customWidth="1"/>
    <col min="6" max="6" width="10.08984375" bestFit="1" customWidth="1"/>
  </cols>
  <sheetData>
    <row r="1" spans="1:6" x14ac:dyDescent="0.35">
      <c r="A1" s="2" t="s">
        <v>15</v>
      </c>
      <c r="B1" s="2" t="s">
        <v>16</v>
      </c>
    </row>
    <row r="2" spans="1:6" x14ac:dyDescent="0.35">
      <c r="A2" t="s">
        <v>17</v>
      </c>
      <c r="B2" s="3">
        <v>46003</v>
      </c>
    </row>
    <row r="3" spans="1:6" x14ac:dyDescent="0.35">
      <c r="A3" t="s">
        <v>18</v>
      </c>
      <c r="B3" s="3">
        <v>46223</v>
      </c>
    </row>
    <row r="4" spans="1:6" x14ac:dyDescent="0.35">
      <c r="A4" t="s">
        <v>19</v>
      </c>
      <c r="B4" s="3">
        <v>46273</v>
      </c>
    </row>
    <row r="5" spans="1:6" x14ac:dyDescent="0.35">
      <c r="A5" t="s">
        <v>20</v>
      </c>
      <c r="B5" s="3">
        <v>46338</v>
      </c>
      <c r="F5" s="3">
        <f ca="1">TODAY()</f>
        <v>46324</v>
      </c>
    </row>
    <row r="6" spans="1:6" x14ac:dyDescent="0.35">
      <c r="A6" t="s">
        <v>21</v>
      </c>
      <c r="B6" s="3">
        <v>46336</v>
      </c>
    </row>
    <row r="7" spans="1:6" x14ac:dyDescent="0.35">
      <c r="A7" t="s">
        <v>22</v>
      </c>
      <c r="B7" s="3">
        <v>46216</v>
      </c>
    </row>
    <row r="8" spans="1:6" x14ac:dyDescent="0.35">
      <c r="A8" t="s">
        <v>9</v>
      </c>
      <c r="B8" s="3">
        <v>45853</v>
      </c>
    </row>
    <row r="9" spans="1:6" x14ac:dyDescent="0.35">
      <c r="A9" t="s">
        <v>23</v>
      </c>
      <c r="B9" s="3">
        <v>45854</v>
      </c>
    </row>
    <row r="10" spans="1:6" x14ac:dyDescent="0.35">
      <c r="A10" t="s">
        <v>24</v>
      </c>
      <c r="B10" s="3">
        <v>45855</v>
      </c>
    </row>
    <row r="11" spans="1:6" x14ac:dyDescent="0.35">
      <c r="A11" t="s">
        <v>25</v>
      </c>
      <c r="B11" s="3">
        <v>45856</v>
      </c>
    </row>
    <row r="12" spans="1:6" x14ac:dyDescent="0.35">
      <c r="A12" t="s">
        <v>26</v>
      </c>
      <c r="B12" s="3">
        <v>45857</v>
      </c>
    </row>
    <row r="13" spans="1:6" x14ac:dyDescent="0.35">
      <c r="A13" t="s">
        <v>27</v>
      </c>
      <c r="B13" s="3">
        <v>45858</v>
      </c>
    </row>
    <row r="14" spans="1:6" x14ac:dyDescent="0.35">
      <c r="A14" t="s">
        <v>28</v>
      </c>
      <c r="B14" s="3">
        <v>45859</v>
      </c>
    </row>
    <row r="15" spans="1:6" x14ac:dyDescent="0.35">
      <c r="A15" t="s">
        <v>29</v>
      </c>
      <c r="B15" s="3">
        <v>45860</v>
      </c>
    </row>
    <row r="16" spans="1:6" x14ac:dyDescent="0.35">
      <c r="A16" t="s">
        <v>30</v>
      </c>
      <c r="B16" s="3">
        <v>45861</v>
      </c>
    </row>
    <row r="17" spans="1:2" x14ac:dyDescent="0.35">
      <c r="A17" t="s">
        <v>31</v>
      </c>
      <c r="B17" s="3">
        <v>45862</v>
      </c>
    </row>
    <row r="18" spans="1:2" x14ac:dyDescent="0.35">
      <c r="A18" t="s">
        <v>32</v>
      </c>
      <c r="B18" s="3">
        <v>45863</v>
      </c>
    </row>
    <row r="19" spans="1:2" x14ac:dyDescent="0.35">
      <c r="A19" t="s">
        <v>33</v>
      </c>
      <c r="B19" s="3">
        <v>45864</v>
      </c>
    </row>
    <row r="20" spans="1:2" x14ac:dyDescent="0.35">
      <c r="A20" t="s">
        <v>34</v>
      </c>
      <c r="B20" s="3">
        <v>46353</v>
      </c>
    </row>
    <row r="21" spans="1:2" x14ac:dyDescent="0.35">
      <c r="A21" t="s">
        <v>35</v>
      </c>
      <c r="B21" s="3">
        <v>46354</v>
      </c>
    </row>
    <row r="22" spans="1:2" x14ac:dyDescent="0.35">
      <c r="A22" t="s">
        <v>36</v>
      </c>
      <c r="B22" s="3">
        <v>46355</v>
      </c>
    </row>
  </sheetData>
  <conditionalFormatting sqref="A2:A22">
    <cfRule type="expression" dxfId="1" priority="1">
      <formula>$B$2:$B$22&gt;TODAY()</formula>
    </cfRule>
    <cfRule type="expression" dxfId="0" priority="2">
      <formula>$B$2:$B$22&lt;=TODAY()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77E96-2764-4630-A96C-E50102812DEB}">
  <dimension ref="A1:H31"/>
  <sheetViews>
    <sheetView tabSelected="1" topLeftCell="A25" zoomScale="160" zoomScaleNormal="160" workbookViewId="0">
      <selection activeCell="G27" sqref="G27:G31"/>
    </sheetView>
  </sheetViews>
  <sheetFormatPr defaultRowHeight="14.5" x14ac:dyDescent="0.35"/>
  <cols>
    <col min="1" max="1" width="14.81640625" customWidth="1"/>
    <col min="2" max="2" width="11.6328125" customWidth="1"/>
    <col min="3" max="3" width="14.81640625" customWidth="1"/>
    <col min="4" max="4" width="13.7265625" customWidth="1"/>
    <col min="5" max="5" width="14.1796875" customWidth="1"/>
    <col min="6" max="6" width="14.453125" customWidth="1"/>
    <col min="7" max="7" width="22.6328125" customWidth="1"/>
    <col min="8" max="8" width="26.26953125" customWidth="1"/>
  </cols>
  <sheetData>
    <row r="1" spans="1:8" ht="23" customHeight="1" x14ac:dyDescent="0.35">
      <c r="A1" s="5" t="s">
        <v>59</v>
      </c>
      <c r="B1" s="5" t="s">
        <v>37</v>
      </c>
      <c r="C1" s="5" t="s">
        <v>38</v>
      </c>
      <c r="D1" s="5" t="s">
        <v>39</v>
      </c>
    </row>
    <row r="2" spans="1:8" x14ac:dyDescent="0.35">
      <c r="A2" s="6" t="s">
        <v>40</v>
      </c>
      <c r="B2" s="4" t="s">
        <v>41</v>
      </c>
      <c r="C2" s="4" t="s">
        <v>52</v>
      </c>
      <c r="D2" s="4" t="b">
        <f>G5=10</f>
        <v>0</v>
      </c>
    </row>
    <row r="3" spans="1:8" x14ac:dyDescent="0.35">
      <c r="A3" s="6" t="s">
        <v>42</v>
      </c>
      <c r="B3" s="4" t="s">
        <v>43</v>
      </c>
      <c r="C3" s="4" t="s">
        <v>53</v>
      </c>
      <c r="D3" s="4" t="b">
        <f>G5&lt;15</f>
        <v>0</v>
      </c>
    </row>
    <row r="4" spans="1:8" x14ac:dyDescent="0.35">
      <c r="A4" s="6" t="s">
        <v>45</v>
      </c>
      <c r="B4" s="4" t="s">
        <v>44</v>
      </c>
      <c r="C4" s="4" t="s">
        <v>54</v>
      </c>
      <c r="D4" s="4" t="b">
        <f>G5&lt;=15</f>
        <v>1</v>
      </c>
    </row>
    <row r="5" spans="1:8" x14ac:dyDescent="0.35">
      <c r="A5" s="6" t="s">
        <v>46</v>
      </c>
      <c r="B5" s="4" t="s">
        <v>47</v>
      </c>
      <c r="C5" s="4" t="s">
        <v>55</v>
      </c>
      <c r="D5" s="4" t="b">
        <f>G5&gt;=15</f>
        <v>1</v>
      </c>
      <c r="G5">
        <v>15</v>
      </c>
    </row>
    <row r="6" spans="1:8" x14ac:dyDescent="0.35">
      <c r="A6" s="6" t="s">
        <v>48</v>
      </c>
      <c r="B6" s="4" t="s">
        <v>49</v>
      </c>
      <c r="C6" s="4" t="s">
        <v>57</v>
      </c>
      <c r="D6" s="4" t="b">
        <f>G5&gt;19</f>
        <v>0</v>
      </c>
    </row>
    <row r="7" spans="1:8" x14ac:dyDescent="0.35">
      <c r="A7" s="6" t="s">
        <v>50</v>
      </c>
      <c r="B7" s="4" t="s">
        <v>58</v>
      </c>
      <c r="C7" s="4" t="s">
        <v>56</v>
      </c>
      <c r="D7" s="4" t="b">
        <f>G5&lt;&gt;15</f>
        <v>0</v>
      </c>
    </row>
    <row r="8" spans="1:8" x14ac:dyDescent="0.35">
      <c r="A8" s="4"/>
      <c r="B8" s="4"/>
      <c r="C8" s="4"/>
      <c r="D8" s="4"/>
    </row>
    <row r="10" spans="1:8" x14ac:dyDescent="0.35">
      <c r="A10" s="7" t="s">
        <v>51</v>
      </c>
      <c r="B10" s="6" t="s">
        <v>37</v>
      </c>
      <c r="C10" s="6" t="s">
        <v>66</v>
      </c>
      <c r="D10" s="6" t="s">
        <v>67</v>
      </c>
      <c r="E10" s="8" t="s">
        <v>68</v>
      </c>
      <c r="F10" s="8" t="s">
        <v>69</v>
      </c>
      <c r="G10" s="8" t="s">
        <v>73</v>
      </c>
      <c r="H10" s="8" t="s">
        <v>74</v>
      </c>
    </row>
    <row r="11" spans="1:8" x14ac:dyDescent="0.35">
      <c r="A11" s="4" t="s">
        <v>60</v>
      </c>
      <c r="B11" s="4" t="s">
        <v>63</v>
      </c>
      <c r="C11" s="4" t="s">
        <v>70</v>
      </c>
      <c r="D11" s="4">
        <v>30</v>
      </c>
      <c r="E11">
        <v>20</v>
      </c>
      <c r="F11" t="b">
        <f>AND(C11="Banana",D11&gt;E11)</f>
        <v>1</v>
      </c>
      <c r="G11" t="str">
        <f>IF(AND(C11="Banana",D11&gt;E11),"Able to Sold","Out of Stock")</f>
        <v>Able to Sold</v>
      </c>
      <c r="H11" t="str">
        <f>IF(OR(C11="Banana",D11&lt;E11),"Able to Sold","Out of Stock")</f>
        <v>Able to Sold</v>
      </c>
    </row>
    <row r="12" spans="1:8" x14ac:dyDescent="0.35">
      <c r="A12" s="4" t="s">
        <v>61</v>
      </c>
      <c r="B12" s="4" t="s">
        <v>64</v>
      </c>
      <c r="C12" s="4" t="s">
        <v>71</v>
      </c>
      <c r="D12" s="4">
        <v>40</v>
      </c>
      <c r="E12">
        <v>40</v>
      </c>
      <c r="F12" t="b">
        <f>AND(C12="Oranges",D12&gt;E12)</f>
        <v>0</v>
      </c>
      <c r="G12" t="str">
        <f>IF(AND(C12="Oranges",D12&gt;E12),"Able to Sold","Out of Stock")</f>
        <v>Out of Stock</v>
      </c>
      <c r="H12" t="str">
        <f>IF(OR(C12="Mango",D12&lt;E12),"out of stock","Product is not available")</f>
        <v>Product is not available</v>
      </c>
    </row>
    <row r="13" spans="1:8" x14ac:dyDescent="0.35">
      <c r="A13" s="4" t="s">
        <v>62</v>
      </c>
      <c r="B13" s="4" t="s">
        <v>65</v>
      </c>
      <c r="C13" s="4" t="s">
        <v>72</v>
      </c>
      <c r="D13" s="4">
        <v>40</v>
      </c>
      <c r="E13">
        <v>10</v>
      </c>
      <c r="F13" t="b">
        <f>AND(C13="Banana",D13&gt;E13)</f>
        <v>0</v>
      </c>
      <c r="G13" t="str">
        <f>IF(AND(C13="Apple",D13&gt;E13),"Able to Sold","Out of Stock")</f>
        <v>Able to Sold</v>
      </c>
      <c r="H13" t="str">
        <f>IF(OR(C13="Apple",D13&gt;E13),"Able to Sold","Out of Stock")</f>
        <v>Able to Sold</v>
      </c>
    </row>
    <row r="14" spans="1:8" x14ac:dyDescent="0.35">
      <c r="A14" s="4"/>
      <c r="B14" s="4"/>
      <c r="C14" s="4"/>
      <c r="D14" s="4"/>
    </row>
    <row r="15" spans="1:8" x14ac:dyDescent="0.35">
      <c r="A15" s="4"/>
      <c r="B15" s="4"/>
      <c r="C15" s="4"/>
      <c r="D15" s="4"/>
    </row>
    <row r="16" spans="1:8" x14ac:dyDescent="0.35">
      <c r="A16" s="4"/>
      <c r="B16" s="4"/>
      <c r="C16" s="4"/>
      <c r="D16" s="4"/>
    </row>
    <row r="20" spans="1:7" x14ac:dyDescent="0.35">
      <c r="A20" s="9" t="s">
        <v>0</v>
      </c>
      <c r="B20" s="9" t="s">
        <v>78</v>
      </c>
      <c r="C20" s="9" t="s">
        <v>75</v>
      </c>
      <c r="D20" s="9" t="s">
        <v>7</v>
      </c>
      <c r="E20" s="9" t="s">
        <v>79</v>
      </c>
    </row>
    <row r="21" spans="1:7" x14ac:dyDescent="0.35">
      <c r="A21" s="10" t="s">
        <v>76</v>
      </c>
      <c r="B21" s="10">
        <v>45</v>
      </c>
      <c r="C21" s="10">
        <v>50</v>
      </c>
      <c r="D21" s="10" t="str">
        <f>IF(AND(B21&gt;40,C21&gt;40),"Pass","Fail")</f>
        <v>Pass</v>
      </c>
      <c r="E21" s="4" t="str">
        <f>IF(NOT(AND(B21&gt;40,C21&gt;40)),"Pass","Fail")</f>
        <v>Fail</v>
      </c>
    </row>
    <row r="22" spans="1:7" x14ac:dyDescent="0.35">
      <c r="A22" s="10" t="s">
        <v>8</v>
      </c>
      <c r="B22" s="10">
        <v>34</v>
      </c>
      <c r="C22" s="10">
        <v>41</v>
      </c>
      <c r="D22" s="10" t="str">
        <f t="shared" ref="D22:D24" si="0">IF(AND(B22&gt;40,C22&gt;40),"Pass","Fail")</f>
        <v>Fail</v>
      </c>
      <c r="E22" s="4" t="str">
        <f t="shared" ref="E22:E24" si="1">IF(NOT(AND(B22&gt;40,C22&gt;40)),"Pass","Fail")</f>
        <v>Pass</v>
      </c>
    </row>
    <row r="23" spans="1:7" x14ac:dyDescent="0.35">
      <c r="A23" s="10" t="s">
        <v>77</v>
      </c>
      <c r="B23" s="10">
        <v>56</v>
      </c>
      <c r="C23" s="10">
        <v>58</v>
      </c>
      <c r="D23" s="10" t="str">
        <f t="shared" si="0"/>
        <v>Pass</v>
      </c>
      <c r="E23" s="4" t="str">
        <f t="shared" si="1"/>
        <v>Fail</v>
      </c>
    </row>
    <row r="24" spans="1:7" x14ac:dyDescent="0.35">
      <c r="A24" s="10" t="s">
        <v>14</v>
      </c>
      <c r="B24" s="10">
        <v>41</v>
      </c>
      <c r="C24" s="10">
        <v>56</v>
      </c>
      <c r="D24" s="10" t="str">
        <f t="shared" si="0"/>
        <v>Pass</v>
      </c>
      <c r="E24" s="4" t="str">
        <f t="shared" si="1"/>
        <v>Fail</v>
      </c>
    </row>
    <row r="26" spans="1:7" x14ac:dyDescent="0.35">
      <c r="A26" s="13" t="s">
        <v>80</v>
      </c>
      <c r="B26" s="1" t="s">
        <v>81</v>
      </c>
      <c r="C26" s="1" t="s">
        <v>82</v>
      </c>
      <c r="D26" s="12" t="s">
        <v>83</v>
      </c>
      <c r="E26" s="12" t="s">
        <v>86</v>
      </c>
      <c r="F26" s="12" t="s">
        <v>84</v>
      </c>
      <c r="G26" s="12" t="s">
        <v>87</v>
      </c>
    </row>
    <row r="27" spans="1:7" x14ac:dyDescent="0.35">
      <c r="A27">
        <v>10</v>
      </c>
      <c r="B27" s="11">
        <v>2</v>
      </c>
      <c r="C27">
        <f>A27/B27</f>
        <v>5</v>
      </c>
      <c r="D27">
        <f>IFERROR(A27/B27,"Not divisible by zero")</f>
        <v>5</v>
      </c>
      <c r="E27">
        <f>IFERROR(A27*B27,"unable to multiply")</f>
        <v>20</v>
      </c>
      <c r="F27">
        <f>IFERROR(A27+B27,"unable to add")</f>
        <v>12</v>
      </c>
      <c r="G27">
        <f>IFERROR(A27-B27,"unable to perform subtraction")</f>
        <v>8</v>
      </c>
    </row>
    <row r="28" spans="1:7" x14ac:dyDescent="0.35">
      <c r="A28">
        <v>19</v>
      </c>
      <c r="B28" s="11">
        <v>8</v>
      </c>
      <c r="C28">
        <f t="shared" ref="C28:C30" si="2">A28/B28</f>
        <v>2.375</v>
      </c>
      <c r="D28">
        <f t="shared" ref="D28:D30" si="3">IFERROR(A28/B28,"Not divisible by zero")</f>
        <v>2.375</v>
      </c>
      <c r="E28">
        <f t="shared" ref="E28:E31" si="4">IFERROR(A28*B28,"unable to multiply")</f>
        <v>152</v>
      </c>
      <c r="F28">
        <f t="shared" ref="F28:F31" si="5">IFERROR(A28+B28,"unable to add")</f>
        <v>27</v>
      </c>
      <c r="G28">
        <f t="shared" ref="G28:G31" si="6">IFERROR(A28-B28,"unable to perform subtraction")</f>
        <v>11</v>
      </c>
    </row>
    <row r="29" spans="1:7" x14ac:dyDescent="0.35">
      <c r="A29">
        <v>0</v>
      </c>
      <c r="B29" s="11">
        <v>23</v>
      </c>
      <c r="C29">
        <f t="shared" si="2"/>
        <v>0</v>
      </c>
      <c r="D29">
        <f t="shared" si="3"/>
        <v>0</v>
      </c>
      <c r="E29">
        <f t="shared" si="4"/>
        <v>0</v>
      </c>
      <c r="F29">
        <f t="shared" si="5"/>
        <v>23</v>
      </c>
      <c r="G29">
        <f t="shared" si="6"/>
        <v>-23</v>
      </c>
    </row>
    <row r="30" spans="1:7" x14ac:dyDescent="0.35">
      <c r="A30">
        <v>144</v>
      </c>
      <c r="B30" s="11">
        <v>0</v>
      </c>
      <c r="C30" t="e">
        <f t="shared" si="2"/>
        <v>#DIV/0!</v>
      </c>
      <c r="D30" t="str">
        <f t="shared" si="3"/>
        <v>Not divisible by zero</v>
      </c>
      <c r="E30">
        <f t="shared" si="4"/>
        <v>0</v>
      </c>
      <c r="F30">
        <f t="shared" si="5"/>
        <v>144</v>
      </c>
      <c r="G30">
        <f t="shared" si="6"/>
        <v>144</v>
      </c>
    </row>
    <row r="31" spans="1:7" x14ac:dyDescent="0.35">
      <c r="A31">
        <v>12</v>
      </c>
      <c r="B31" t="s">
        <v>85</v>
      </c>
      <c r="E31" t="str">
        <f t="shared" si="4"/>
        <v>unable to multiply</v>
      </c>
      <c r="F31" t="str">
        <f t="shared" si="5"/>
        <v>unable to add</v>
      </c>
      <c r="G31" t="str">
        <f t="shared" si="6"/>
        <v>unable to perform subtraction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LOGICAL OPERATORS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Hitesh Pande</dc:creator>
  <cp:lastModifiedBy>Hitesh Pande</cp:lastModifiedBy>
  <dcterms:created xsi:type="dcterms:W3CDTF">2026-10-28T02:08:29Z</dcterms:created>
  <dcterms:modified xsi:type="dcterms:W3CDTF">2026-10-29T03:36:48Z</dcterms:modified>
</cp:coreProperties>
</file>