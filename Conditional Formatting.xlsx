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N327_Excel\"/>
    </mc:Choice>
  </mc:AlternateContent>
  <xr:revisionPtr revIDLastSave="0" documentId="8_{236776A5-AD68-4D0B-9264-1B15E13F2124}" xr6:coauthVersionLast="47" xr6:coauthVersionMax="47" xr10:uidLastSave="{00000000-0000-0000-0000-000000000000}"/>
  <bookViews>
    <workbookView xWindow="-110" yWindow="-110" windowWidth="19420" windowHeight="10420" activeTab="1" xr2:uid="{AD6C997B-D305-4C51-8C4D-0A33C74755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<sst xmlns="http://schemas.openxmlformats.org/spreadsheetml/2006/main" count="38" uniqueCount="37">
  <si>
    <t>Name</t>
  </si>
  <si>
    <t>Eng</t>
  </si>
  <si>
    <t>Hindi</t>
  </si>
  <si>
    <t>Maths</t>
  </si>
  <si>
    <t>Science</t>
  </si>
  <si>
    <t>Total</t>
  </si>
  <si>
    <t>Percentage</t>
  </si>
  <si>
    <t>Result</t>
  </si>
  <si>
    <t>Rahul</t>
  </si>
  <si>
    <t>Gaurav</t>
  </si>
  <si>
    <t>Himanshu</t>
  </si>
  <si>
    <t>Gautam</t>
  </si>
  <si>
    <t>Siddharth</t>
  </si>
  <si>
    <t>Abhinav</t>
  </si>
  <si>
    <t>Kunal</t>
  </si>
  <si>
    <t>Student Name</t>
  </si>
  <si>
    <t>Submission Date</t>
  </si>
  <si>
    <t>Amit</t>
  </si>
  <si>
    <t>Bhargav</t>
  </si>
  <si>
    <t>Chinoy</t>
  </si>
  <si>
    <t>Durgesh</t>
  </si>
  <si>
    <t>Evan</t>
  </si>
  <si>
    <t>Faisal</t>
  </si>
  <si>
    <t>Ishaan</t>
  </si>
  <si>
    <t>Jay</t>
  </si>
  <si>
    <t>Kamal</t>
  </si>
  <si>
    <t>Lokesh</t>
  </si>
  <si>
    <t>Manish</t>
  </si>
  <si>
    <t>Naina</t>
  </si>
  <si>
    <t>Om</t>
  </si>
  <si>
    <t>Prakash</t>
  </si>
  <si>
    <t>Qureshi</t>
  </si>
  <si>
    <t>Raj</t>
  </si>
  <si>
    <t>Satish</t>
  </si>
  <si>
    <t>Twinkle</t>
  </si>
  <si>
    <t>Urvashi</t>
  </si>
  <si>
    <t>Vivaan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</si>
</sst>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1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7AAA-D786-4AB1-85D2-DFF9401F6D2E}">
  <dimension ref="A1:H8"/>
  <sheetViews>
    <sheetView zoomScale="118" workbookViewId="0">
      <selection activeCell="H2" sqref="H2"/>
    </sheetView>
  </sheetViews>
  <sheetFormatPr defaultRowHeight="14.5" x14ac:dyDescent="0.35"/>
  <cols>
    <col min="1" max="1" width="29.36328125" customWidth="1"/>
    <col min="2" max="2" width="12.453125" customWidth="1"/>
    <col min="3" max="3" width="13.6328125" customWidth="1"/>
    <col min="4" max="4" width="12.90625" customWidth="1"/>
    <col min="5" max="5" width="12.1796875" customWidth="1"/>
    <col min="6" max="6" width="13.6328125" customWidth="1"/>
    <col min="7" max="7" width="14" customWidth="1"/>
    <col min="8" max="8" width="11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46</v>
      </c>
      <c r="C2">
        <v>75</v>
      </c>
      <c r="D2">
        <v>98</v>
      </c>
      <c r="E2">
        <v>31</v>
      </c>
      <c r="F2">
        <f>SUM(B2:E2)</f>
        <v>250</v>
      </c>
      <c r="G2">
        <f>(F2/400)*100</f>
        <v>62.5</v>
      </c>
      <c r="H2" t="str">
        <f>IF(AND(B2&gt;40,C2&gt;40,D2&gt;40,E2&gt;40),"Pass","Fail")</f>
        <v>Fail</v>
      </c>
    </row>
    <row r="3" spans="1:8" x14ac:dyDescent="0.35">
      <c r="A3" t="s">
        <v>9</v>
      </c>
      <c r="B3">
        <v>35</v>
      </c>
      <c r="C3">
        <v>67</v>
      </c>
      <c r="D3">
        <v>76</v>
      </c>
      <c r="E3">
        <v>42</v>
      </c>
      <c r="F3">
        <f t="shared" ref="F3:F8" si="0">SUM(B3:E3)</f>
        <v>220</v>
      </c>
      <c r="G3">
        <f t="shared" ref="G3:G8" si="1">(F3/400)*100</f>
        <v>55.000000000000007</v>
      </c>
      <c r="H3" t="str">
        <f t="shared" ref="H3:H8" si="2">IF(AND(B3&gt;40,C3&gt;40,D3&gt;40,E3&gt;40),"Pass","Fail")</f>
        <v>Fail</v>
      </c>
    </row>
    <row r="4" spans="1:8" x14ac:dyDescent="0.35">
      <c r="A4" t="s">
        <v>10</v>
      </c>
      <c r="B4">
        <v>67</v>
      </c>
      <c r="C4">
        <v>47</v>
      </c>
      <c r="D4">
        <v>43</v>
      </c>
      <c r="E4">
        <v>35</v>
      </c>
      <c r="F4">
        <f t="shared" si="0"/>
        <v>192</v>
      </c>
      <c r="G4">
        <f t="shared" si="1"/>
        <v>48</v>
      </c>
      <c r="H4" t="str">
        <f t="shared" si="2"/>
        <v>Fail</v>
      </c>
    </row>
    <row r="5" spans="1:8" x14ac:dyDescent="0.35">
      <c r="A5" t="s">
        <v>11</v>
      </c>
      <c r="B5">
        <v>87</v>
      </c>
      <c r="C5">
        <v>42</v>
      </c>
      <c r="D5">
        <v>31</v>
      </c>
      <c r="E5">
        <v>56</v>
      </c>
      <c r="F5">
        <f t="shared" si="0"/>
        <v>216</v>
      </c>
      <c r="G5">
        <f t="shared" si="1"/>
        <v>54</v>
      </c>
      <c r="H5" t="str">
        <f t="shared" si="2"/>
        <v>Fail</v>
      </c>
    </row>
    <row r="6" spans="1:8" x14ac:dyDescent="0.35">
      <c r="A6" t="s">
        <v>12</v>
      </c>
      <c r="B6">
        <v>58</v>
      </c>
      <c r="C6">
        <v>89</v>
      </c>
      <c r="D6">
        <v>45</v>
      </c>
      <c r="E6">
        <v>84</v>
      </c>
      <c r="F6">
        <f t="shared" si="0"/>
        <v>276</v>
      </c>
      <c r="G6">
        <f t="shared" si="1"/>
        <v>69</v>
      </c>
      <c r="H6" t="str">
        <f t="shared" si="2"/>
        <v>Pass</v>
      </c>
    </row>
    <row r="7" spans="1:8" x14ac:dyDescent="0.35">
      <c r="A7" t="s">
        <v>13</v>
      </c>
      <c r="B7">
        <v>89</v>
      </c>
      <c r="C7">
        <v>37</v>
      </c>
      <c r="D7">
        <v>51</v>
      </c>
      <c r="E7">
        <v>41</v>
      </c>
      <c r="F7">
        <f t="shared" si="0"/>
        <v>218</v>
      </c>
      <c r="G7">
        <f t="shared" si="1"/>
        <v>54.500000000000007</v>
      </c>
      <c r="H7" t="str">
        <f t="shared" si="2"/>
        <v>Fail</v>
      </c>
    </row>
    <row r="8" spans="1:8" x14ac:dyDescent="0.35">
      <c r="A8" t="s">
        <v>14</v>
      </c>
      <c r="B8">
        <v>82</v>
      </c>
      <c r="C8">
        <v>68</v>
      </c>
      <c r="D8">
        <v>31</v>
      </c>
      <c r="E8">
        <v>42</v>
      </c>
      <c r="F8">
        <f t="shared" si="0"/>
        <v>223</v>
      </c>
      <c r="G8">
        <f t="shared" si="1"/>
        <v>55.75</v>
      </c>
      <c r="H8" t="str">
        <f t="shared" si="2"/>
        <v>Fail</v>
      </c>
    </row>
  </sheetData>
  <conditionalFormatting sqref="H2:H8">
    <cfRule type="cellIs" dxfId="5" priority="4" operator="equal">
      <formula>"Fail"</formula>
    </cfRule>
    <cfRule type="cellIs" dxfId="4" priority="3" operator="equal">
      <formula>"Pass"</formula>
    </cfRule>
  </conditionalFormatting>
  <conditionalFormatting sqref="B2:E8">
    <cfRule type="cellIs" dxfId="0" priority="2" operator="lessThan">
      <formula>40</formula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{5C391DFE-A61F-4369-8EE6-3537ABFAA461}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391DFE-A61F-4369-8EE6-3537ABFAA4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B2:E8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C048-1EB4-4FB2-AC74-6608647083D7}">
  <dimension ref="A1:B22"/>
  <sheetViews>
    <sheetView tabSelected="1" topLeftCell="A5" zoomScale="119" workbookViewId="0">
      <selection activeCell="B9" sqref="B9"/>
    </sheetView>
  </sheetViews>
  <sheetFormatPr defaultRowHeight="14.5" x14ac:dyDescent="0.35"/>
  <cols>
    <col min="1" max="1" width="14.7265625" customWidth="1"/>
    <col min="2" max="2" width="18.453125" customWidth="1"/>
  </cols>
  <sheetData>
    <row r="1" spans="1:2" x14ac:dyDescent="0.35">
      <c r="A1" s="2" t="s">
        <v>15</v>
      </c>
      <c r="B1" s="2" t="s">
        <v>16</v>
      </c>
    </row>
    <row r="2" spans="1:2" x14ac:dyDescent="0.35">
      <c r="A2" t="s">
        <v>17</v>
      </c>
      <c r="B2" s="3">
        <v>46003</v>
      </c>
    </row>
    <row r="3" spans="1:2" x14ac:dyDescent="0.35">
      <c r="A3" t="s">
        <v>18</v>
      </c>
      <c r="B3" s="3">
        <v>46223</v>
      </c>
    </row>
    <row r="4" spans="1:2" x14ac:dyDescent="0.35">
      <c r="A4" t="s">
        <v>19</v>
      </c>
      <c r="B4" s="3">
        <v>46273</v>
      </c>
    </row>
    <row r="5" spans="1:2" x14ac:dyDescent="0.35">
      <c r="A5" t="s">
        <v>20</v>
      </c>
      <c r="B5" s="3">
        <v>46338</v>
      </c>
    </row>
    <row r="6" spans="1:2" x14ac:dyDescent="0.35">
      <c r="A6" t="s">
        <v>21</v>
      </c>
      <c r="B6" s="3">
        <v>46336</v>
      </c>
    </row>
    <row r="7" spans="1:2" x14ac:dyDescent="0.35">
      <c r="A7" t="s">
        <v>22</v>
      </c>
      <c r="B7" s="3">
        <v>46216</v>
      </c>
    </row>
    <row r="8" spans="1:2" x14ac:dyDescent="0.35">
      <c r="A8" t="s">
        <v>9</v>
      </c>
      <c r="B8" s="3">
        <v>45853</v>
      </c>
    </row>
    <row r="9" spans="1:2" x14ac:dyDescent="0.35">
      <c r="A9" t="s">
        <v>23</v>
      </c>
      <c r="B9" s="3">
        <v>45854</v>
      </c>
    </row>
    <row r="10" spans="1:2" x14ac:dyDescent="0.35">
      <c r="A10" t="s">
        <v>24</v>
      </c>
      <c r="B10" s="3">
        <v>45855</v>
      </c>
    </row>
    <row r="11" spans="1:2" x14ac:dyDescent="0.35">
      <c r="A11" t="s">
        <v>25</v>
      </c>
      <c r="B11" s="3">
        <v>45856</v>
      </c>
    </row>
    <row r="12" spans="1:2" x14ac:dyDescent="0.35">
      <c r="A12" t="s">
        <v>26</v>
      </c>
      <c r="B12" s="3">
        <v>45857</v>
      </c>
    </row>
    <row r="13" spans="1:2" x14ac:dyDescent="0.35">
      <c r="A13" t="s">
        <v>27</v>
      </c>
      <c r="B13" s="3">
        <v>45858</v>
      </c>
    </row>
    <row r="14" spans="1:2" x14ac:dyDescent="0.35">
      <c r="A14" t="s">
        <v>28</v>
      </c>
      <c r="B14" s="3">
        <v>45859</v>
      </c>
    </row>
    <row r="15" spans="1:2" x14ac:dyDescent="0.35">
      <c r="A15" t="s">
        <v>29</v>
      </c>
      <c r="B15" s="3">
        <v>45860</v>
      </c>
    </row>
    <row r="16" spans="1:2" x14ac:dyDescent="0.35">
      <c r="A16" t="s">
        <v>30</v>
      </c>
      <c r="B16" s="3">
        <v>45861</v>
      </c>
    </row>
    <row r="17" spans="1:2" x14ac:dyDescent="0.35">
      <c r="A17" t="s">
        <v>31</v>
      </c>
      <c r="B17" s="3">
        <v>45862</v>
      </c>
    </row>
    <row r="18" spans="1:2" x14ac:dyDescent="0.35">
      <c r="A18" t="s">
        <v>32</v>
      </c>
      <c r="B18" s="3">
        <v>45863</v>
      </c>
    </row>
    <row r="19" spans="1:2" x14ac:dyDescent="0.35">
      <c r="A19" t="s">
        <v>33</v>
      </c>
      <c r="B19" s="3">
        <v>45864</v>
      </c>
    </row>
    <row r="20" spans="1:2" x14ac:dyDescent="0.35">
      <c r="A20" t="s">
        <v>34</v>
      </c>
      <c r="B20" s="3">
        <v>46353</v>
      </c>
    </row>
    <row r="21" spans="1:2" x14ac:dyDescent="0.35">
      <c r="A21" t="s">
        <v>35</v>
      </c>
      <c r="B21" s="3">
        <v>46354</v>
      </c>
    </row>
    <row r="22" spans="1:2" x14ac:dyDescent="0.35">
      <c r="A22" t="s">
        <v>36</v>
      </c>
      <c r="B22" s="3">
        <v>46355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Pande</dc:creator>
  <cp:lastModifiedBy>Hitesh Pande</cp:lastModifiedBy>
  <dcterms:created xsi:type="dcterms:W3CDTF">2026-10-28T02:08:29Z</dcterms:created>
  <dcterms:modified xsi:type="dcterms:W3CDTF">2026-10-28T02:53:52Z</dcterms:modified>
</cp:coreProperties>
</file>