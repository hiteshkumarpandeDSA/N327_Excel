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N327_Excel\"/>
    </mc:Choice>
  </mc:AlternateContent>
  <xr:revisionPtr revIDLastSave="0" documentId="13_ncr:1_{C1EA72C7-65B9-4700-A4E9-7F40101DA66D}" xr6:coauthVersionLast="47" xr6:coauthVersionMax="47" xr10:uidLastSave="{00000000-0000-0000-0000-000000000000}"/>
  <bookViews>
    <workbookView xWindow="-110" yWindow="-110" windowWidth="19420" windowHeight="10420" firstSheet="2" activeTab="6" xr2:uid="{0798CD5C-ADCC-4D40-A4D6-6EB8940214FB}"/>
  </bookViews>
  <sheets>
    <sheet name="day-1" sheetId="1" r:id="rId1"/>
    <sheet name="product" sheetId="4" r:id="rId2"/>
    <sheet name="Sheet1" sheetId="3" r:id="rId3"/>
    <sheet name="Arithmetic Operations" sheetId="5" r:id="rId4"/>
    <sheet name="day-2" sheetId="2" r:id="rId5"/>
    <sheet name="Named Ranges" sheetId="6" r:id="rId6"/>
    <sheet name="Sheet3" sheetId="7" r:id="rId7"/>
  </sheets>
  <definedNames>
    <definedName name="_xlchart.v1.0" hidden="1">'Named Ranges'!$A$2:$A$9</definedName>
    <definedName name="_xlchart.v1.1" hidden="1">'Named Ranges'!$B$2:$B$9</definedName>
    <definedName name="Andrew_Simonds_Marks">'Named Ranges'!$B$3:$D$3</definedName>
    <definedName name="Anil_Kumble_Marks">'Named Ranges'!$B$7:$D$7</definedName>
    <definedName name="Brian_Lara_Marks">'Named Ranges'!$B$9:$D$9</definedName>
    <definedName name="English" comment="English Marks">'Named Ranges'!$B$2:$B$9</definedName>
    <definedName name="ExternalData_1" localSheetId="2" hidden="1">Sheet1!$A$1:$B$9</definedName>
    <definedName name="ExternalData_2" localSheetId="1" hidden="1">product!$A$1:$G$201</definedName>
    <definedName name="Maths">'Named Ranges'!$C$2:$C$9</definedName>
    <definedName name="Ricky_Pointing_Marks">'Named Ranges'!$B$2:$D$2</definedName>
    <definedName name="Sanath_Jaysuriya_Marks">'Named Ranges'!$B$8:$D$8</definedName>
    <definedName name="Science" comment="Science Marks">'Named Ranges'!$D$2:$D$9</definedName>
    <definedName name="STUDENT_NAME">'Named Ranges'!$A$2:$A$9</definedName>
    <definedName name="Total_Marks_of_Andrew_Simonds">'Named Ranges'!$E$3</definedName>
    <definedName name="TOTAL_MARKS_OF_ANIL_KUMBALE">'Named Ranges'!$E$7</definedName>
    <definedName name="Total_Marks_of_Ricky_Pointing">'Named Ranges'!$E$2</definedName>
    <definedName name="Virat_Kohli_Marks">'Named Ranges'!$B$4:$D$4</definedName>
    <definedName name="Virendra_Sehwag_Marks">'Named Ranges'!$B$6:$D$6</definedName>
    <definedName name="Zaheer_Khan_Marks">'Named Ranges'!$B$5:$D$5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surance_845925ee-475b-451c-b283-41e990d56dd9" name="insurance" connection="Query - insur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7" l="1"/>
  <c r="E5" i="7"/>
  <c r="E6" i="7"/>
  <c r="E7" i="7"/>
  <c r="E8" i="7"/>
  <c r="E9" i="7"/>
  <c r="E10" i="7"/>
  <c r="E11" i="7"/>
  <c r="E3" i="7"/>
  <c r="E2" i="7"/>
  <c r="F7" i="6"/>
  <c r="F8" i="6"/>
  <c r="F5" i="6"/>
  <c r="F6" i="6"/>
  <c r="F9" i="6"/>
  <c r="F4" i="6"/>
  <c r="F3" i="6"/>
  <c r="E9" i="6"/>
  <c r="E8" i="6"/>
  <c r="E7" i="6"/>
  <c r="E6" i="6"/>
  <c r="E5" i="6"/>
  <c r="F2" i="6"/>
  <c r="E4" i="6"/>
  <c r="E3" i="6"/>
  <c r="E2" i="6"/>
  <c r="D10" i="6"/>
  <c r="C10" i="6"/>
  <c r="B10" i="6"/>
  <c r="G6" i="5"/>
  <c r="G7" i="5"/>
  <c r="G8" i="5"/>
  <c r="G9" i="5"/>
  <c r="G10" i="5"/>
  <c r="G11" i="5"/>
  <c r="G12" i="5"/>
  <c r="G5" i="5"/>
  <c r="G4" i="5"/>
  <c r="F4" i="5"/>
  <c r="E5" i="5"/>
  <c r="E4" i="5"/>
  <c r="D4" i="5"/>
  <c r="C4" i="5"/>
  <c r="B5" i="5"/>
  <c r="A5" i="5"/>
  <c r="E4" i="3"/>
  <c r="E5" i="3"/>
  <c r="E6" i="3"/>
  <c r="E7" i="3"/>
  <c r="E8" i="3"/>
  <c r="F4" i="3"/>
  <c r="F5" i="3"/>
  <c r="F6" i="3"/>
  <c r="F7" i="3"/>
  <c r="F8" i="3"/>
  <c r="D4" i="3"/>
  <c r="D5" i="3"/>
  <c r="D6" i="3"/>
  <c r="D7" i="3"/>
  <c r="D8" i="3"/>
  <c r="H8" i="3"/>
  <c r="I8" i="3" s="1"/>
  <c r="H7" i="3"/>
  <c r="I7" i="3" s="1"/>
  <c r="H6" i="3"/>
  <c r="I6" i="3" s="1"/>
  <c r="H5" i="3"/>
  <c r="I5" i="3" s="1"/>
  <c r="H4" i="3"/>
  <c r="I4" i="3" s="1"/>
  <c r="G36" i="2"/>
  <c r="F36" i="2"/>
  <c r="F21" i="2"/>
  <c r="B12" i="2" a="1"/>
  <c r="J14" i="2"/>
  <c r="J13" i="2"/>
  <c r="J12" i="2"/>
  <c r="J11" i="2"/>
  <c r="I14" i="2"/>
  <c r="I13" i="2"/>
  <c r="I12" i="2"/>
  <c r="I11" i="2"/>
  <c r="H14" i="2"/>
  <c r="H12" i="2"/>
  <c r="H13" i="2"/>
  <c r="H11" i="2"/>
  <c r="I17" i="2"/>
  <c r="F17" i="2"/>
  <c r="G12" i="2"/>
  <c r="G11" i="2"/>
  <c r="F12" i="2"/>
  <c r="F11" i="2"/>
  <c r="E2" i="2"/>
  <c r="E3" i="2"/>
  <c r="E4" i="2"/>
  <c r="E5" i="2"/>
  <c r="E6" i="2"/>
  <c r="E7" i="2"/>
  <c r="G3" i="2"/>
  <c r="G4" i="2"/>
  <c r="G5" i="2"/>
  <c r="G6" i="2"/>
  <c r="G7" i="2"/>
  <c r="G2" i="2"/>
  <c r="L10" i="1" a="1"/>
  <c r="L11" i="1" a="1"/>
  <c r="L12" i="1" a="1"/>
  <c r="J10" i="1" a="1"/>
  <c r="J11" i="1" a="1"/>
  <c r="J12" i="1" a="1"/>
  <c r="L9" i="1" a="1"/>
  <c r="J9" i="1" a="1"/>
  <c r="J6" i="1" a="1"/>
  <c r="D18" i="1"/>
  <c r="F15" i="1"/>
  <c r="F14" i="1"/>
  <c r="F13" i="1"/>
  <c r="F12" i="1"/>
  <c r="B6" i="5" l="1"/>
  <c r="F5" i="5"/>
  <c r="D5" i="5"/>
  <c r="C5" i="5"/>
  <c r="A6" i="5"/>
  <c r="I3" i="2"/>
  <c r="H3" i="2"/>
  <c r="I4" i="2"/>
  <c r="H4" i="2"/>
  <c r="I5" i="2"/>
  <c r="H5" i="2"/>
  <c r="I6" i="2"/>
  <c r="H6" i="2"/>
  <c r="I7" i="2"/>
  <c r="H7" i="2"/>
  <c r="I2" i="2"/>
  <c r="H2" i="2"/>
  <c r="K6" i="3"/>
  <c r="K5" i="3"/>
  <c r="K8" i="3"/>
  <c r="K7" i="3"/>
  <c r="K4" i="3"/>
  <c r="J5" i="3"/>
  <c r="B5" i="3" s="1"/>
  <c r="J4" i="3"/>
  <c r="B4" i="3" s="1"/>
  <c r="J8" i="3"/>
  <c r="B8" i="3" s="1"/>
  <c r="J7" i="3"/>
  <c r="B7" i="3" s="1"/>
  <c r="J6" i="3"/>
  <c r="B6" i="3" s="1"/>
  <c r="C6" i="5" l="1"/>
  <c r="D6" i="5"/>
  <c r="E6" i="5"/>
  <c r="F6" i="5"/>
  <c r="A7" i="5"/>
  <c r="B7" i="5"/>
  <c r="B8" i="5" s="1"/>
  <c r="B9" i="5" s="1"/>
  <c r="B10" i="5" s="1"/>
  <c r="B11" i="5" s="1"/>
  <c r="B12" i="5" s="1"/>
  <c r="J12" i="5"/>
  <c r="J10" i="5"/>
  <c r="J8" i="5"/>
  <c r="B13" i="5"/>
  <c r="C7" i="5" l="1"/>
  <c r="D7" i="5"/>
  <c r="E7" i="5"/>
  <c r="F7" i="5"/>
  <c r="A8" i="5"/>
  <c r="C8" i="5" l="1"/>
  <c r="D8" i="5"/>
  <c r="E8" i="5"/>
  <c r="F8" i="5"/>
  <c r="A9" i="5"/>
  <c r="C9" i="5" l="1"/>
  <c r="D9" i="5"/>
  <c r="E9" i="5"/>
  <c r="F9" i="5"/>
  <c r="A10" i="5"/>
  <c r="C10" i="5" l="1"/>
  <c r="D10" i="5"/>
  <c r="E10" i="5"/>
  <c r="F10" i="5"/>
  <c r="A11" i="5"/>
  <c r="C11" i="5" l="1"/>
  <c r="D11" i="5"/>
  <c r="E11" i="5"/>
  <c r="F11" i="5"/>
  <c r="A12" i="5"/>
  <c r="J7" i="5" l="1"/>
  <c r="A13" i="5"/>
  <c r="J11" i="5"/>
  <c r="J9" i="5"/>
  <c r="C12" i="5"/>
  <c r="D12" i="5"/>
  <c r="E12" i="5"/>
  <c r="F12" i="5"/>
  <c r="F13" i="5" l="1"/>
  <c r="E13" i="5"/>
  <c r="D13" i="5"/>
  <c r="C13" i="5"/>
  <c r="B12" i="2"/>
  <c r="L12" i="1"/>
  <c r="J12" i="1"/>
  <c r="L11" i="1"/>
  <c r="J11" i="1"/>
  <c r="L10" i="1"/>
  <c r="J10" i="1"/>
  <c r="L9" i="1"/>
  <c r="J9" i="1"/>
  <c r="J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E892A-FB7D-44D2-8835-C2743D84C11F}" name="Query - insurance" description="Connection to the 'insurance' query in the workbook." type="100" refreshedVersion="8" minRefreshableVersion="5">
    <extLst>
      <ext xmlns:x15="http://schemas.microsoft.com/office/spreadsheetml/2010/11/main" uri="{DE250136-89BD-433C-8126-D09CA5730AF9}">
        <x15:connection id="dd20c0d3-9e42-486e-a3ba-9af598e64775"/>
      </ext>
    </extLst>
  </connection>
  <connection id="2" xr16:uid="{1EA3598E-C455-4E6B-A29B-D120238D7C02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3" xr16:uid="{B0958360-682A-4637-82B1-E54EFF475B0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F619C5D3-299B-43D7-86FD-D5524F9C6416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<sst xmlns="http://schemas.openxmlformats.org/spreadsheetml/2006/main" count="1140" uniqueCount="529">
  <si>
    <t>sum</t>
  </si>
  <si>
    <t>product</t>
  </si>
  <si>
    <t>median</t>
  </si>
  <si>
    <t>mode</t>
  </si>
  <si>
    <t>data_science</t>
  </si>
  <si>
    <t>pandehks@gmail.com</t>
  </si>
  <si>
    <t>xyz@yahoomail.com</t>
  </si>
  <si>
    <t>nmodi123@gov.in</t>
  </si>
  <si>
    <t>wxyz12345@orkut.com</t>
  </si>
  <si>
    <t>Username</t>
  </si>
  <si>
    <t>domain_name</t>
  </si>
  <si>
    <t>Email Address</t>
  </si>
  <si>
    <t>Fname</t>
  </si>
  <si>
    <t>Lname</t>
  </si>
  <si>
    <t>designation</t>
  </si>
  <si>
    <t>Location</t>
  </si>
  <si>
    <t>Email_Address</t>
  </si>
  <si>
    <t>Sharma</t>
  </si>
  <si>
    <t>Kamal</t>
  </si>
  <si>
    <t>Raj</t>
  </si>
  <si>
    <t>Bhushan</t>
  </si>
  <si>
    <t>Chaudhary</t>
  </si>
  <si>
    <t>Sanjay</t>
  </si>
  <si>
    <t>Jha</t>
  </si>
  <si>
    <t>Karan</t>
  </si>
  <si>
    <t>Saxsena</t>
  </si>
  <si>
    <t>Kiran</t>
  </si>
  <si>
    <t>Rajawat</t>
  </si>
  <si>
    <t>Data Engineer</t>
  </si>
  <si>
    <t>Data Analyst</t>
  </si>
  <si>
    <t>Data Scientist</t>
  </si>
  <si>
    <t>Python Developer</t>
  </si>
  <si>
    <t>Bangalore</t>
  </si>
  <si>
    <t>Gurgaon</t>
  </si>
  <si>
    <t>Noida</t>
  </si>
  <si>
    <t>Hyderabad</t>
  </si>
  <si>
    <t>DA</t>
  </si>
  <si>
    <t>Salary(Annual)</t>
  </si>
  <si>
    <t>Monthly Salary</t>
  </si>
  <si>
    <t>Basic Salary</t>
  </si>
  <si>
    <t>Jay</t>
  </si>
  <si>
    <t>Total Salary</t>
  </si>
  <si>
    <t>Average Salary</t>
  </si>
  <si>
    <t>Maximum Salary</t>
  </si>
  <si>
    <t>Minimum Salary</t>
  </si>
  <si>
    <t>Employees</t>
  </si>
  <si>
    <t>Designation</t>
  </si>
  <si>
    <t>Mode of Salary</t>
  </si>
  <si>
    <t>Age</t>
  </si>
  <si>
    <t>Mode(Age)</t>
  </si>
  <si>
    <t>Number of Occurances</t>
  </si>
  <si>
    <t>Product_ID</t>
  </si>
  <si>
    <t>Category</t>
  </si>
  <si>
    <t>Sub_Category</t>
  </si>
  <si>
    <t>Brand</t>
  </si>
  <si>
    <t>Product_Name</t>
  </si>
  <si>
    <t>Unit_Price</t>
  </si>
  <si>
    <t>Launch_Year</t>
  </si>
  <si>
    <t>PROD1</t>
  </si>
  <si>
    <t>Furniture</t>
  </si>
  <si>
    <t>Binders</t>
  </si>
  <si>
    <t>BrandC</t>
  </si>
  <si>
    <t>Product_1</t>
  </si>
  <si>
    <t>PROD2</t>
  </si>
  <si>
    <t>Technology</t>
  </si>
  <si>
    <t>Storage</t>
  </si>
  <si>
    <t>BrandA</t>
  </si>
  <si>
    <t>Product_2</t>
  </si>
  <si>
    <t>PROD3</t>
  </si>
  <si>
    <t>Product_3</t>
  </si>
  <si>
    <t>PROD4</t>
  </si>
  <si>
    <t>Product_4</t>
  </si>
  <si>
    <t>PROD5</t>
  </si>
  <si>
    <t>Chairs</t>
  </si>
  <si>
    <t>Product_5</t>
  </si>
  <si>
    <t>PROD6</t>
  </si>
  <si>
    <t>Office Supplies</t>
  </si>
  <si>
    <t>Product_6</t>
  </si>
  <si>
    <t>PROD7</t>
  </si>
  <si>
    <t>Phones</t>
  </si>
  <si>
    <t>Product_7</t>
  </si>
  <si>
    <t>PROD8</t>
  </si>
  <si>
    <t>Product_8</t>
  </si>
  <si>
    <t>PROD9</t>
  </si>
  <si>
    <t>BrandB</t>
  </si>
  <si>
    <t>Product_9</t>
  </si>
  <si>
    <t>PROD10</t>
  </si>
  <si>
    <t>Product_10</t>
  </si>
  <si>
    <t>PROD11</t>
  </si>
  <si>
    <t>Product_11</t>
  </si>
  <si>
    <t>PROD12</t>
  </si>
  <si>
    <t>Product_12</t>
  </si>
  <si>
    <t>PROD13</t>
  </si>
  <si>
    <t>Product_13</t>
  </si>
  <si>
    <t>PROD14</t>
  </si>
  <si>
    <t>Product_14</t>
  </si>
  <si>
    <t>PROD15</t>
  </si>
  <si>
    <t>Product_15</t>
  </si>
  <si>
    <t>PROD16</t>
  </si>
  <si>
    <t>Product_16</t>
  </si>
  <si>
    <t>PROD17</t>
  </si>
  <si>
    <t>Product_17</t>
  </si>
  <si>
    <t>PROD18</t>
  </si>
  <si>
    <t>Product_18</t>
  </si>
  <si>
    <t>PROD19</t>
  </si>
  <si>
    <t>Product_19</t>
  </si>
  <si>
    <t>PROD20</t>
  </si>
  <si>
    <t>Product_20</t>
  </si>
  <si>
    <t>PROD21</t>
  </si>
  <si>
    <t>Product_21</t>
  </si>
  <si>
    <t>PROD22</t>
  </si>
  <si>
    <t>Product_22</t>
  </si>
  <si>
    <t>PROD23</t>
  </si>
  <si>
    <t>Product_23</t>
  </si>
  <si>
    <t>PROD24</t>
  </si>
  <si>
    <t>Product_24</t>
  </si>
  <si>
    <t>PROD25</t>
  </si>
  <si>
    <t>Product_25</t>
  </si>
  <si>
    <t>PROD26</t>
  </si>
  <si>
    <t>Product_26</t>
  </si>
  <si>
    <t>PROD27</t>
  </si>
  <si>
    <t>Product_27</t>
  </si>
  <si>
    <t>PROD28</t>
  </si>
  <si>
    <t>Product_28</t>
  </si>
  <si>
    <t>PROD29</t>
  </si>
  <si>
    <t>Product_29</t>
  </si>
  <si>
    <t>PROD30</t>
  </si>
  <si>
    <t>Product_30</t>
  </si>
  <si>
    <t>PROD31</t>
  </si>
  <si>
    <t>Product_31</t>
  </si>
  <si>
    <t>PROD32</t>
  </si>
  <si>
    <t>Product_32</t>
  </si>
  <si>
    <t>PROD33</t>
  </si>
  <si>
    <t>Product_33</t>
  </si>
  <si>
    <t>PROD34</t>
  </si>
  <si>
    <t>Product_34</t>
  </si>
  <si>
    <t>PROD35</t>
  </si>
  <si>
    <t>Product_35</t>
  </si>
  <si>
    <t>PROD36</t>
  </si>
  <si>
    <t>Product_36</t>
  </si>
  <si>
    <t>PROD37</t>
  </si>
  <si>
    <t>Product_37</t>
  </si>
  <si>
    <t>PROD38</t>
  </si>
  <si>
    <t>Product_38</t>
  </si>
  <si>
    <t>PROD39</t>
  </si>
  <si>
    <t>Product_39</t>
  </si>
  <si>
    <t>PROD40</t>
  </si>
  <si>
    <t>Product_40</t>
  </si>
  <si>
    <t>PROD41</t>
  </si>
  <si>
    <t>Product_41</t>
  </si>
  <si>
    <t>PROD42</t>
  </si>
  <si>
    <t>Product_42</t>
  </si>
  <si>
    <t>PROD43</t>
  </si>
  <si>
    <t>Product_43</t>
  </si>
  <si>
    <t>PROD44</t>
  </si>
  <si>
    <t>Product_44</t>
  </si>
  <si>
    <t>PROD45</t>
  </si>
  <si>
    <t>Product_45</t>
  </si>
  <si>
    <t>PROD46</t>
  </si>
  <si>
    <t>Product_46</t>
  </si>
  <si>
    <t>PROD47</t>
  </si>
  <si>
    <t>Product_47</t>
  </si>
  <si>
    <t>PROD48</t>
  </si>
  <si>
    <t>Product_48</t>
  </si>
  <si>
    <t>PROD49</t>
  </si>
  <si>
    <t>Product_49</t>
  </si>
  <si>
    <t>PROD50</t>
  </si>
  <si>
    <t>Product_50</t>
  </si>
  <si>
    <t>PROD51</t>
  </si>
  <si>
    <t>Product_51</t>
  </si>
  <si>
    <t>PROD52</t>
  </si>
  <si>
    <t>Product_52</t>
  </si>
  <si>
    <t>PROD53</t>
  </si>
  <si>
    <t>Product_53</t>
  </si>
  <si>
    <t>PROD54</t>
  </si>
  <si>
    <t>Product_54</t>
  </si>
  <si>
    <t>PROD55</t>
  </si>
  <si>
    <t>Product_55</t>
  </si>
  <si>
    <t>PROD56</t>
  </si>
  <si>
    <t>Product_56</t>
  </si>
  <si>
    <t>PROD57</t>
  </si>
  <si>
    <t>Product_57</t>
  </si>
  <si>
    <t>PROD58</t>
  </si>
  <si>
    <t>Product_58</t>
  </si>
  <si>
    <t>PROD59</t>
  </si>
  <si>
    <t>Product_59</t>
  </si>
  <si>
    <t>PROD60</t>
  </si>
  <si>
    <t>Product_60</t>
  </si>
  <si>
    <t>PROD61</t>
  </si>
  <si>
    <t>Product_61</t>
  </si>
  <si>
    <t>PROD62</t>
  </si>
  <si>
    <t>Product_62</t>
  </si>
  <si>
    <t>PROD63</t>
  </si>
  <si>
    <t>Product_63</t>
  </si>
  <si>
    <t>PROD64</t>
  </si>
  <si>
    <t>Product_64</t>
  </si>
  <si>
    <t>PROD65</t>
  </si>
  <si>
    <t>Product_65</t>
  </si>
  <si>
    <t>PROD66</t>
  </si>
  <si>
    <t>Product_66</t>
  </si>
  <si>
    <t>PROD67</t>
  </si>
  <si>
    <t>Product_67</t>
  </si>
  <si>
    <t>PROD68</t>
  </si>
  <si>
    <t>Product_68</t>
  </si>
  <si>
    <t>PROD69</t>
  </si>
  <si>
    <t>Product_69</t>
  </si>
  <si>
    <t>PROD70</t>
  </si>
  <si>
    <t>Product_70</t>
  </si>
  <si>
    <t>PROD71</t>
  </si>
  <si>
    <t>Product_71</t>
  </si>
  <si>
    <t>PROD72</t>
  </si>
  <si>
    <t>Product_72</t>
  </si>
  <si>
    <t>PROD73</t>
  </si>
  <si>
    <t>Product_73</t>
  </si>
  <si>
    <t>PROD74</t>
  </si>
  <si>
    <t>Product_74</t>
  </si>
  <si>
    <t>PROD75</t>
  </si>
  <si>
    <t>Product_75</t>
  </si>
  <si>
    <t>PROD76</t>
  </si>
  <si>
    <t>Product_76</t>
  </si>
  <si>
    <t>PROD77</t>
  </si>
  <si>
    <t>Product_77</t>
  </si>
  <si>
    <t>PROD78</t>
  </si>
  <si>
    <t>Product_78</t>
  </si>
  <si>
    <t>PROD79</t>
  </si>
  <si>
    <t>Product_79</t>
  </si>
  <si>
    <t>PROD80</t>
  </si>
  <si>
    <t>Product_80</t>
  </si>
  <si>
    <t>PROD81</t>
  </si>
  <si>
    <t>Product_81</t>
  </si>
  <si>
    <t>PROD82</t>
  </si>
  <si>
    <t>Product_82</t>
  </si>
  <si>
    <t>PROD83</t>
  </si>
  <si>
    <t>Product_83</t>
  </si>
  <si>
    <t>PROD84</t>
  </si>
  <si>
    <t>Product_84</t>
  </si>
  <si>
    <t>PROD85</t>
  </si>
  <si>
    <t>Product_85</t>
  </si>
  <si>
    <t>PROD86</t>
  </si>
  <si>
    <t>Product_86</t>
  </si>
  <si>
    <t>PROD87</t>
  </si>
  <si>
    <t>Product_87</t>
  </si>
  <si>
    <t>PROD88</t>
  </si>
  <si>
    <t>Product_88</t>
  </si>
  <si>
    <t>PROD89</t>
  </si>
  <si>
    <t>Product_89</t>
  </si>
  <si>
    <t>PROD90</t>
  </si>
  <si>
    <t>Product_90</t>
  </si>
  <si>
    <t>PROD91</t>
  </si>
  <si>
    <t>Product_91</t>
  </si>
  <si>
    <t>PROD92</t>
  </si>
  <si>
    <t>Product_92</t>
  </si>
  <si>
    <t>PROD93</t>
  </si>
  <si>
    <t>Product_93</t>
  </si>
  <si>
    <t>PROD94</t>
  </si>
  <si>
    <t>Product_94</t>
  </si>
  <si>
    <t>PROD95</t>
  </si>
  <si>
    <t>Product_95</t>
  </si>
  <si>
    <t>PROD96</t>
  </si>
  <si>
    <t>Product_96</t>
  </si>
  <si>
    <t>PROD97</t>
  </si>
  <si>
    <t>Product_97</t>
  </si>
  <si>
    <t>PROD98</t>
  </si>
  <si>
    <t>Product_98</t>
  </si>
  <si>
    <t>PROD99</t>
  </si>
  <si>
    <t>Product_99</t>
  </si>
  <si>
    <t>PROD100</t>
  </si>
  <si>
    <t>Product_100</t>
  </si>
  <si>
    <t>PROD101</t>
  </si>
  <si>
    <t>Product_101</t>
  </si>
  <si>
    <t>PROD102</t>
  </si>
  <si>
    <t>Product_102</t>
  </si>
  <si>
    <t>PROD103</t>
  </si>
  <si>
    <t>Product_103</t>
  </si>
  <si>
    <t>PROD104</t>
  </si>
  <si>
    <t>Product_104</t>
  </si>
  <si>
    <t>PROD105</t>
  </si>
  <si>
    <t>Product_105</t>
  </si>
  <si>
    <t>PROD106</t>
  </si>
  <si>
    <t>Product_106</t>
  </si>
  <si>
    <t>PROD107</t>
  </si>
  <si>
    <t>Product_107</t>
  </si>
  <si>
    <t>PROD108</t>
  </si>
  <si>
    <t>Product_108</t>
  </si>
  <si>
    <t>PROD109</t>
  </si>
  <si>
    <t>Product_109</t>
  </si>
  <si>
    <t>PROD110</t>
  </si>
  <si>
    <t>Product_110</t>
  </si>
  <si>
    <t>PROD111</t>
  </si>
  <si>
    <t>Product_111</t>
  </si>
  <si>
    <t>PROD112</t>
  </si>
  <si>
    <t>Product_112</t>
  </si>
  <si>
    <t>PROD113</t>
  </si>
  <si>
    <t>Product_113</t>
  </si>
  <si>
    <t>PROD114</t>
  </si>
  <si>
    <t>Product_114</t>
  </si>
  <si>
    <t>PROD115</t>
  </si>
  <si>
    <t>Product_115</t>
  </si>
  <si>
    <t>PROD116</t>
  </si>
  <si>
    <t>Product_116</t>
  </si>
  <si>
    <t>PROD117</t>
  </si>
  <si>
    <t>Product_117</t>
  </si>
  <si>
    <t>PROD118</t>
  </si>
  <si>
    <t>Product_118</t>
  </si>
  <si>
    <t>PROD119</t>
  </si>
  <si>
    <t>Product_119</t>
  </si>
  <si>
    <t>PROD120</t>
  </si>
  <si>
    <t>Product_120</t>
  </si>
  <si>
    <t>PROD121</t>
  </si>
  <si>
    <t>Product_121</t>
  </si>
  <si>
    <t>PROD122</t>
  </si>
  <si>
    <t>Product_122</t>
  </si>
  <si>
    <t>PROD123</t>
  </si>
  <si>
    <t>Product_123</t>
  </si>
  <si>
    <t>PROD124</t>
  </si>
  <si>
    <t>Product_124</t>
  </si>
  <si>
    <t>PROD125</t>
  </si>
  <si>
    <t>Product_125</t>
  </si>
  <si>
    <t>PROD126</t>
  </si>
  <si>
    <t>Product_126</t>
  </si>
  <si>
    <t>PROD127</t>
  </si>
  <si>
    <t>Product_127</t>
  </si>
  <si>
    <t>PROD128</t>
  </si>
  <si>
    <t>Product_128</t>
  </si>
  <si>
    <t>PROD129</t>
  </si>
  <si>
    <t>Product_129</t>
  </si>
  <si>
    <t>PROD130</t>
  </si>
  <si>
    <t>Product_130</t>
  </si>
  <si>
    <t>PROD131</t>
  </si>
  <si>
    <t>Product_131</t>
  </si>
  <si>
    <t>PROD132</t>
  </si>
  <si>
    <t>Product_132</t>
  </si>
  <si>
    <t>PROD133</t>
  </si>
  <si>
    <t>Product_133</t>
  </si>
  <si>
    <t>PROD134</t>
  </si>
  <si>
    <t>Product_134</t>
  </si>
  <si>
    <t>PROD135</t>
  </si>
  <si>
    <t>Product_135</t>
  </si>
  <si>
    <t>PROD136</t>
  </si>
  <si>
    <t>Product_136</t>
  </si>
  <si>
    <t>PROD137</t>
  </si>
  <si>
    <t>Product_137</t>
  </si>
  <si>
    <t>PROD138</t>
  </si>
  <si>
    <t>Product_138</t>
  </si>
  <si>
    <t>PROD139</t>
  </si>
  <si>
    <t>Product_139</t>
  </si>
  <si>
    <t>PROD140</t>
  </si>
  <si>
    <t>Product_140</t>
  </si>
  <si>
    <t>PROD141</t>
  </si>
  <si>
    <t>Product_141</t>
  </si>
  <si>
    <t>PROD142</t>
  </si>
  <si>
    <t>Product_142</t>
  </si>
  <si>
    <t>PROD143</t>
  </si>
  <si>
    <t>Product_143</t>
  </si>
  <si>
    <t>PROD144</t>
  </si>
  <si>
    <t>Product_144</t>
  </si>
  <si>
    <t>PROD145</t>
  </si>
  <si>
    <t>Product_145</t>
  </si>
  <si>
    <t>PROD146</t>
  </si>
  <si>
    <t>Product_146</t>
  </si>
  <si>
    <t>PROD147</t>
  </si>
  <si>
    <t>Product_147</t>
  </si>
  <si>
    <t>PROD148</t>
  </si>
  <si>
    <t>Product_148</t>
  </si>
  <si>
    <t>PROD149</t>
  </si>
  <si>
    <t>Product_149</t>
  </si>
  <si>
    <t>PROD150</t>
  </si>
  <si>
    <t>Product_150</t>
  </si>
  <si>
    <t>PROD151</t>
  </si>
  <si>
    <t>Product_151</t>
  </si>
  <si>
    <t>PROD152</t>
  </si>
  <si>
    <t>Product_152</t>
  </si>
  <si>
    <t>PROD153</t>
  </si>
  <si>
    <t>Product_153</t>
  </si>
  <si>
    <t>PROD154</t>
  </si>
  <si>
    <t>Product_154</t>
  </si>
  <si>
    <t>PROD155</t>
  </si>
  <si>
    <t>Product_155</t>
  </si>
  <si>
    <t>PROD156</t>
  </si>
  <si>
    <t>Product_156</t>
  </si>
  <si>
    <t>PROD157</t>
  </si>
  <si>
    <t>Product_157</t>
  </si>
  <si>
    <t>PROD158</t>
  </si>
  <si>
    <t>Product_158</t>
  </si>
  <si>
    <t>PROD159</t>
  </si>
  <si>
    <t>Product_159</t>
  </si>
  <si>
    <t>PROD160</t>
  </si>
  <si>
    <t>Product_160</t>
  </si>
  <si>
    <t>PROD161</t>
  </si>
  <si>
    <t>Product_161</t>
  </si>
  <si>
    <t>PROD162</t>
  </si>
  <si>
    <t>Product_162</t>
  </si>
  <si>
    <t>PROD163</t>
  </si>
  <si>
    <t>Product_163</t>
  </si>
  <si>
    <t>PROD164</t>
  </si>
  <si>
    <t>Product_164</t>
  </si>
  <si>
    <t>PROD165</t>
  </si>
  <si>
    <t>Product_165</t>
  </si>
  <si>
    <t>PROD166</t>
  </si>
  <si>
    <t>Product_166</t>
  </si>
  <si>
    <t>PROD167</t>
  </si>
  <si>
    <t>Product_167</t>
  </si>
  <si>
    <t>PROD168</t>
  </si>
  <si>
    <t>Product_168</t>
  </si>
  <si>
    <t>PROD169</t>
  </si>
  <si>
    <t>Product_169</t>
  </si>
  <si>
    <t>PROD170</t>
  </si>
  <si>
    <t>Product_170</t>
  </si>
  <si>
    <t>PROD171</t>
  </si>
  <si>
    <t>Product_171</t>
  </si>
  <si>
    <t>PROD172</t>
  </si>
  <si>
    <t>Product_172</t>
  </si>
  <si>
    <t>PROD173</t>
  </si>
  <si>
    <t>Product_173</t>
  </si>
  <si>
    <t>PROD174</t>
  </si>
  <si>
    <t>Product_174</t>
  </si>
  <si>
    <t>PROD175</t>
  </si>
  <si>
    <t>Product_175</t>
  </si>
  <si>
    <t>PROD176</t>
  </si>
  <si>
    <t>Product_176</t>
  </si>
  <si>
    <t>PROD177</t>
  </si>
  <si>
    <t>Product_177</t>
  </si>
  <si>
    <t>PROD178</t>
  </si>
  <si>
    <t>Product_178</t>
  </si>
  <si>
    <t>PROD179</t>
  </si>
  <si>
    <t>Product_179</t>
  </si>
  <si>
    <t>PROD180</t>
  </si>
  <si>
    <t>Product_180</t>
  </si>
  <si>
    <t>PROD181</t>
  </si>
  <si>
    <t>Product_181</t>
  </si>
  <si>
    <t>PROD182</t>
  </si>
  <si>
    <t>Product_182</t>
  </si>
  <si>
    <t>PROD183</t>
  </si>
  <si>
    <t>Product_183</t>
  </si>
  <si>
    <t>PROD184</t>
  </si>
  <si>
    <t>Product_184</t>
  </si>
  <si>
    <t>PROD185</t>
  </si>
  <si>
    <t>Product_185</t>
  </si>
  <si>
    <t>PROD186</t>
  </si>
  <si>
    <t>Product_186</t>
  </si>
  <si>
    <t>PROD187</t>
  </si>
  <si>
    <t>Product_187</t>
  </si>
  <si>
    <t>PROD188</t>
  </si>
  <si>
    <t>Product_188</t>
  </si>
  <si>
    <t>PROD189</t>
  </si>
  <si>
    <t>Product_189</t>
  </si>
  <si>
    <t>PROD190</t>
  </si>
  <si>
    <t>Product_190</t>
  </si>
  <si>
    <t>PROD191</t>
  </si>
  <si>
    <t>Product_191</t>
  </si>
  <si>
    <t>PROD192</t>
  </si>
  <si>
    <t>Product_192</t>
  </si>
  <si>
    <t>PROD193</t>
  </si>
  <si>
    <t>Product_193</t>
  </si>
  <si>
    <t>PROD194</t>
  </si>
  <si>
    <t>Product_194</t>
  </si>
  <si>
    <t>PROD195</t>
  </si>
  <si>
    <t>Product_195</t>
  </si>
  <si>
    <t>PROD196</t>
  </si>
  <si>
    <t>Product_196</t>
  </si>
  <si>
    <t>PROD197</t>
  </si>
  <si>
    <t>Product_197</t>
  </si>
  <si>
    <t>PROD198</t>
  </si>
  <si>
    <t>Product_198</t>
  </si>
  <si>
    <t>PROD199</t>
  </si>
  <si>
    <t>Product_199</t>
  </si>
  <si>
    <t>PROD200</t>
  </si>
  <si>
    <t>Product_200</t>
  </si>
  <si>
    <t>Name</t>
  </si>
  <si>
    <t>Marks</t>
  </si>
  <si>
    <t>DOB</t>
  </si>
  <si>
    <t>Aman</t>
  </si>
  <si>
    <t>Ajay</t>
  </si>
  <si>
    <t>Bhavesh</t>
  </si>
  <si>
    <t>Ganesh</t>
  </si>
  <si>
    <t>Present Age</t>
  </si>
  <si>
    <t>YOB</t>
  </si>
  <si>
    <t>Present Years</t>
  </si>
  <si>
    <t>Present Month</t>
  </si>
  <si>
    <t>YOM</t>
  </si>
  <si>
    <t>Present Day</t>
  </si>
  <si>
    <t xml:space="preserve"> Birth Day</t>
  </si>
  <si>
    <t>Bhargav</t>
  </si>
  <si>
    <t>Modi</t>
  </si>
  <si>
    <t>Num1</t>
  </si>
  <si>
    <t>Num2</t>
  </si>
  <si>
    <t>Add</t>
  </si>
  <si>
    <t>Sub</t>
  </si>
  <si>
    <t>Multiplication</t>
  </si>
  <si>
    <t>Division</t>
  </si>
  <si>
    <t>COUNT OF num1</t>
  </si>
  <si>
    <t>COUNT OF num2</t>
  </si>
  <si>
    <t>Average of Num1</t>
  </si>
  <si>
    <t>Average of Num2</t>
  </si>
  <si>
    <t>Highest Value of Num1</t>
  </si>
  <si>
    <t>Lowest Values of Num2</t>
  </si>
  <si>
    <t>Statistics Summary of numbers</t>
  </si>
  <si>
    <t>greater Value num1</t>
  </si>
  <si>
    <t>Student Name</t>
  </si>
  <si>
    <t>English</t>
  </si>
  <si>
    <t>Maths</t>
  </si>
  <si>
    <t>Science</t>
  </si>
  <si>
    <t>Total Marks of Student</t>
  </si>
  <si>
    <t>Percentage</t>
  </si>
  <si>
    <t>Ricky Pointing</t>
  </si>
  <si>
    <t>Andrew Simonds</t>
  </si>
  <si>
    <t>Virat Kohli</t>
  </si>
  <si>
    <t>Zaheer Khan</t>
  </si>
  <si>
    <t>Virendra Sehwag</t>
  </si>
  <si>
    <t>Anil Kumble</t>
  </si>
  <si>
    <t>Sanath Jaysuriya</t>
  </si>
  <si>
    <t>Brian Lara</t>
  </si>
  <si>
    <t>Total Mark of each subject</t>
  </si>
  <si>
    <t>Product</t>
  </si>
  <si>
    <t>Quantity</t>
  </si>
  <si>
    <t>Price</t>
  </si>
  <si>
    <t>Sales</t>
  </si>
  <si>
    <t>Pen</t>
  </si>
  <si>
    <t>Stationary</t>
  </si>
  <si>
    <t>Notebook</t>
  </si>
  <si>
    <t>Pencil</t>
  </si>
  <si>
    <t>Bag</t>
  </si>
  <si>
    <t>Bottle</t>
  </si>
  <si>
    <t>Eraser</t>
  </si>
  <si>
    <t>Marker</t>
  </si>
  <si>
    <t>Lunch Box</t>
  </si>
  <si>
    <t>Dairy</t>
  </si>
  <si>
    <t>File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</si>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</sst>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FC8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1" fillId="0" borderId="1" xfId="1" applyBorder="1"/>
    <xf numFmtId="0" fontId="5" fillId="2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2" applyNumberFormat="1" applyFont="1"/>
    <xf numFmtId="0" fontId="0" fillId="2" borderId="0" xfId="0" applyFill="1"/>
    <xf numFmtId="0" fontId="0" fillId="5" borderId="1" xfId="0" applyFill="1" applyBorder="1"/>
    <xf numFmtId="0" fontId="0" fillId="2" borderId="1" xfId="0" applyFill="1" applyBorder="1"/>
    <xf numFmtId="0" fontId="0" fillId="5" borderId="0" xfId="0" applyFill="1"/>
    <xf numFmtId="0" fontId="9" fillId="2" borderId="0" xfId="0" applyFont="1" applyFill="1"/>
    <xf numFmtId="0" fontId="10" fillId="6" borderId="0" xfId="0" applyFont="1" applyFill="1" applyAlignment="1">
      <alignment horizontal="center" vertical="center"/>
    </xf>
    <xf numFmtId="0" fontId="0" fillId="7" borderId="0" xfId="0" applyFill="1"/>
    <xf numFmtId="0" fontId="9" fillId="6" borderId="0" xfId="0" applyFont="1" applyFill="1" applyAlignment="1">
      <alignment horizontal="center" vertical="center"/>
    </xf>
    <xf numFmtId="0" fontId="10" fillId="8" borderId="0" xfId="0" applyFont="1" applyFill="1"/>
  </cellXfs>
  <cellStyles count="3">
    <cellStyle name="Currency" xfId="2" builtinId="4"/>
    <cellStyle name="Hyperlink" xfId="1" builtinId="8"/>
    <cellStyle name="Normal" xfId="0" builtinId="0"/>
  </cellStyles>
  <dxfs count="15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English Marks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 cap="rnd">
              <a:solidFill>
                <a:srgbClr val="FFFF00"/>
              </a:solidFill>
              <a:bevel/>
            </a:ln>
            <a:effectLst>
              <a:outerShdw blurRad="317500" dist="19050" dir="5280000" sx="144000" sy="144000" algn="ctr" rotWithShape="0">
                <a:srgbClr val="000000">
                  <a:alpha val="63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FF00"/>
                </a:solidFill>
                <a:bevel/>
              </a:ln>
              <a:effectLst>
                <a:outerShdw blurRad="317500" dist="19050" dir="5280000" sx="144000" sy="144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'Named Ranges'!$A$2:$A$9</c:f>
              <c:strCache>
                <c:ptCount val="8"/>
                <c:pt idx="0">
                  <c:v>Ricky Pointing</c:v>
                </c:pt>
                <c:pt idx="1">
                  <c:v>Andrew Simonds</c:v>
                </c:pt>
                <c:pt idx="2">
                  <c:v>Virat Kohli</c:v>
                </c:pt>
                <c:pt idx="3">
                  <c:v>Zaheer Khan</c:v>
                </c:pt>
                <c:pt idx="4">
                  <c:v>Virendra Sehwag</c:v>
                </c:pt>
                <c:pt idx="5">
                  <c:v>Anil Kumble</c:v>
                </c:pt>
                <c:pt idx="6">
                  <c:v>Sanath Jaysuriya</c:v>
                </c:pt>
                <c:pt idx="7">
                  <c:v>Brian Lara</c:v>
                </c:pt>
              </c:strCache>
            </c:strRef>
          </c:cat>
          <c:val>
            <c:numRef>
              <c:f>'Named Ranges'!$B$2:$B$9</c:f>
              <c:numCache>
                <c:formatCode>General</c:formatCode>
                <c:ptCount val="8"/>
                <c:pt idx="0">
                  <c:v>89</c:v>
                </c:pt>
                <c:pt idx="1">
                  <c:v>86</c:v>
                </c:pt>
                <c:pt idx="2">
                  <c:v>85</c:v>
                </c:pt>
                <c:pt idx="3">
                  <c:v>79</c:v>
                </c:pt>
                <c:pt idx="4">
                  <c:v>79</c:v>
                </c:pt>
                <c:pt idx="5">
                  <c:v>93</c:v>
                </c:pt>
                <c:pt idx="6">
                  <c:v>85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23E-BDED-23FCCA3CEC0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376828</xdr:colOff>
      <xdr:row>0</xdr:row>
      <xdr:rowOff>4</xdr:rowOff>
    </xdr:from>
    <xdr:to>
      <xdr:col>5</xdr:col>
      <xdr:colOff>628974</xdr:colOff>
      <xdr:row>14</xdr:row>
      <xdr:rowOff>64153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3FA212-70AB-BCEC-C7B7-34A985DE7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4063E06-2383-4B3F-9EA1-4313DD3117A3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Category" tableColumnId="2"/>
      <queryTableField id="3" name="Sub_Category" tableColumnId="3"/>
      <queryTableField id="4" name="Brand" tableColumnId="4"/>
      <queryTableField id="5" name="Product_Name" tableColumnId="5"/>
      <queryTableField id="6" name="Unit_Price" tableColumnId="6"/>
      <queryTableField id="7" name="Launch_Yea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E0259E9-599A-4B2D-B232-2E20F541D9D3}" autoFormatId="16" applyNumberFormats="0" applyBorderFormats="0" applyFontFormats="0" applyPatternFormats="0" applyAlignmentFormats="0" applyWidthHeightFormats="0">
  <queryTableRefresh nextId="12" unboundColumnsRight="9">
    <queryTableFields count="11">
      <queryTableField id="1" name="DATA" tableColumnId="1"/>
      <queryTableField id="2" name="SCIENCE" tableColumnId="2"/>
      <queryTableField id="3" dataBound="0" tableColumnId="3"/>
      <queryTableField id="6" dataBound="0" tableColumnId="6"/>
      <queryTableField id="11" dataBound="0" tableColumnId="11"/>
      <queryTableField id="9" dataBound="0" tableColumnId="9"/>
      <queryTableField id="4" dataBound="0" tableColumnId="4"/>
      <queryTableField id="5" dataBound="0" tableColumnId="5"/>
      <queryTableField id="10" dataBound="0" tableColumnId="10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AECA14-2C59-4F81-A7EF-2123B53E5E57}" name="product" displayName="product" ref="A1:G201" tableType="queryTable" totalsRowShown="0">
  <autoFilter ref="A1:G201" xr:uid="{AAAECA14-2C59-4F81-A7EF-2123B53E5E57}"/>
  <tableColumns count="7">
    <tableColumn id="1" xr3:uid="{BA59FBAE-AABE-49E5-B396-806E2404ED38}" uniqueName="1" name="Product_ID" queryTableFieldId="1" dataDxfId="14"/>
    <tableColumn id="2" xr3:uid="{A3B9CC81-EAFA-4C8A-8B5B-071BB2C863BA}" uniqueName="2" name="Category" queryTableFieldId="2" dataDxfId="13"/>
    <tableColumn id="3" xr3:uid="{D7F5AFE0-5A7F-4170-941D-68F6610EA2F2}" uniqueName="3" name="Sub_Category" queryTableFieldId="3" dataDxfId="12"/>
    <tableColumn id="4" xr3:uid="{F5D4FC82-F85A-48AF-8D16-8F5659942CB7}" uniqueName="4" name="Brand" queryTableFieldId="4" dataDxfId="11"/>
    <tableColumn id="5" xr3:uid="{048F8FC7-E2E1-4997-BBF3-BEF9B711ED5E}" uniqueName="5" name="Product_Name" queryTableFieldId="5" dataDxfId="10"/>
    <tableColumn id="6" xr3:uid="{EB87390E-9A1A-47CB-A1C4-95202570CD39}" uniqueName="6" name="Unit_Price" queryTableFieldId="6"/>
    <tableColumn id="7" xr3:uid="{E9B88014-55B8-4560-97EC-BDB6D8AB7BD1}" uniqueName="7" name="Launch_Yea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F9886-EA3A-4DF1-B061-DE9238416FCF}" name="Sheet1" displayName="Sheet1" ref="A1:K9" tableType="queryTable" totalsRowShown="0">
  <autoFilter ref="A1:K9" xr:uid="{4B9F9886-EA3A-4DF1-B061-DE9238416FCF}"/>
  <tableColumns count="11">
    <tableColumn id="1" xr3:uid="{40249C87-09FC-4FD8-8C98-433208C1074B}" uniqueName="1" name="Name" queryTableFieldId="1" dataDxfId="9"/>
    <tableColumn id="2" xr3:uid="{0A89C34D-EB0F-4D02-BE7E-B3A05AE98332}" uniqueName="2" name="Age" queryTableFieldId="2" dataDxfId="8"/>
    <tableColumn id="3" xr3:uid="{60DF876C-0CC3-4A1B-8499-0B99AFFDD778}" uniqueName="3" name="Marks" queryTableFieldId="3"/>
    <tableColumn id="6" xr3:uid="{337B3AF6-1443-4D41-96E0-067B59C201BE}" uniqueName="6" name="YOB" queryTableFieldId="6" dataDxfId="7">
      <calculatedColumnFormula>YEAR(Sheet1[[#This Row],[DOB]])</calculatedColumnFormula>
    </tableColumn>
    <tableColumn id="11" xr3:uid="{1FC96C92-CA1E-4F19-A213-B8FF91F5CA31}" uniqueName="11" name=" Birth Day" queryTableFieldId="11" dataDxfId="6">
      <calculatedColumnFormula>TEXT(Sheet1[[#This Row],[DOB]],"dddd")</calculatedColumnFormula>
    </tableColumn>
    <tableColumn id="9" xr3:uid="{045944E4-FA4C-4980-B61D-545F40EB3A42}" uniqueName="9" name="YOM" queryTableFieldId="9" dataDxfId="5">
      <calculatedColumnFormula>TEXT(Sheet1[[#This Row],[DOB]],"mmm")</calculatedColumnFormula>
    </tableColumn>
    <tableColumn id="4" xr3:uid="{78D0A58F-D12E-43D9-994E-833C162228E0}" uniqueName="4" name="DOB" queryTableFieldId="4" dataDxfId="4"/>
    <tableColumn id="5" xr3:uid="{D13E2141-A03F-496C-A0C7-26B0EE33FA9E}" uniqueName="5" name="Present Age" queryTableFieldId="5" dataDxfId="3"/>
    <tableColumn id="10" xr3:uid="{4BCDC320-3897-43D0-849A-02962588F1B9}" uniqueName="10" name="Present Day" queryTableFieldId="10" dataDxfId="2">
      <calculatedColumnFormula>TEXT(Sheet1[[#This Row],[Present Age]],"dd")</calculatedColumnFormula>
    </tableColumn>
    <tableColumn id="7" xr3:uid="{6D76D27E-FB33-455F-8AAD-2811252AE9EF}" uniqueName="7" name="Present Years" queryTableFieldId="7" dataDxfId="1">
      <calculatedColumnFormula>YEAR(Sheet1[[#This Row],[Present Age]])</calculatedColumnFormula>
    </tableColumn>
    <tableColumn id="8" xr3:uid="{096BEB9B-95C2-4327-B7F8-FD90C8B1FB4A}" uniqueName="8" name="Present Month" queryTableFieldId="8" dataDxfId="0">
      <calculatedColumnFormula>TEXT(Sheet1[[#This Row],[Present Age]],"MMM")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modi123@gov.in" TargetMode="External"/><Relationship Id="rId2" Type="http://schemas.openxmlformats.org/officeDocument/2006/relationships/hyperlink" Target="mailto:xyz@yahoomail.com" TargetMode="External"/><Relationship Id="rId1" Type="http://schemas.openxmlformats.org/officeDocument/2006/relationships/hyperlink" Target="mailto:pandehks@gmail.com" TargetMode="External"/><Relationship Id="rId4" Type="http://schemas.openxmlformats.org/officeDocument/2006/relationships/hyperlink" Target="mailto:wxyz12345@orku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CCC4-296B-48E5-9651-06CB067144FB}">
  <dimension ref="D2:M18"/>
  <sheetViews>
    <sheetView workbookViewId="0">
      <selection activeCell="D15" sqref="D15"/>
    </sheetView>
  </sheetViews>
  <sheetFormatPr defaultRowHeight="14.5" x14ac:dyDescent="0.35"/>
  <cols>
    <col min="6" max="6" width="24.90625" customWidth="1"/>
    <col min="9" max="9" width="26.26953125" customWidth="1"/>
    <col min="10" max="10" width="14.90625" customWidth="1"/>
    <col min="11" max="11" width="19.36328125" customWidth="1"/>
  </cols>
  <sheetData>
    <row r="2" spans="4:13" x14ac:dyDescent="0.35">
      <c r="D2">
        <v>12</v>
      </c>
    </row>
    <row r="3" spans="4:13" x14ac:dyDescent="0.35">
      <c r="D3">
        <v>12</v>
      </c>
    </row>
    <row r="4" spans="4:13" x14ac:dyDescent="0.35">
      <c r="D4">
        <v>12</v>
      </c>
    </row>
    <row r="5" spans="4:13" x14ac:dyDescent="0.35">
      <c r="D5">
        <v>12</v>
      </c>
    </row>
    <row r="6" spans="4:13" x14ac:dyDescent="0.35">
      <c r="D6">
        <v>12</v>
      </c>
      <c r="I6" t="s">
        <v>4</v>
      </c>
      <c r="J6" t="str" cm="1">
        <f t="array" ref="J6:K6">_xlfn.TEXTSPLIT(I6,"_")</f>
        <v>data</v>
      </c>
      <c r="K6" t="str">
        <v>science</v>
      </c>
    </row>
    <row r="7" spans="4:13" x14ac:dyDescent="0.35">
      <c r="D7">
        <v>12</v>
      </c>
    </row>
    <row r="8" spans="4:13" x14ac:dyDescent="0.35">
      <c r="D8">
        <v>12</v>
      </c>
      <c r="I8" s="1" t="s">
        <v>11</v>
      </c>
      <c r="J8" s="2" t="s">
        <v>9</v>
      </c>
      <c r="K8" s="2" t="s">
        <v>10</v>
      </c>
      <c r="L8" s="3"/>
      <c r="M8" s="3"/>
    </row>
    <row r="9" spans="4:13" x14ac:dyDescent="0.35">
      <c r="D9">
        <v>12</v>
      </c>
      <c r="I9" s="4" t="s">
        <v>5</v>
      </c>
      <c r="J9" s="3" t="str" cm="1">
        <f t="array" ref="J9:K9">_xlfn.TEXTSPLIT(I9,"@")</f>
        <v>pandehks</v>
      </c>
      <c r="K9" s="3" t="str">
        <v>gmail.com</v>
      </c>
      <c r="L9" s="3" t="str" cm="1">
        <f t="array" ref="L9:M9">_xlfn.TEXTSPLIT(K9,".")</f>
        <v>gmail</v>
      </c>
      <c r="M9" s="3" t="str">
        <v>com</v>
      </c>
    </row>
    <row r="10" spans="4:13" x14ac:dyDescent="0.35">
      <c r="D10">
        <v>12</v>
      </c>
      <c r="I10" s="4" t="s">
        <v>6</v>
      </c>
      <c r="J10" s="3" t="str" cm="1">
        <f t="array" ref="J10:K10">_xlfn.TEXTSPLIT(I10,"@")</f>
        <v>xyz</v>
      </c>
      <c r="K10" s="3" t="str">
        <v>yahoomail.com</v>
      </c>
      <c r="L10" s="3" t="str" cm="1">
        <f t="array" ref="L10:M10">_xlfn.TEXTSPLIT(K10,".")</f>
        <v>yahoomail</v>
      </c>
      <c r="M10" s="3" t="str">
        <v>com</v>
      </c>
    </row>
    <row r="11" spans="4:13" x14ac:dyDescent="0.35">
      <c r="D11">
        <v>12</v>
      </c>
      <c r="I11" s="4" t="s">
        <v>7</v>
      </c>
      <c r="J11" s="3" t="str" cm="1">
        <f t="array" ref="J11:K11">_xlfn.TEXTSPLIT(I11,"@")</f>
        <v>nmodi123</v>
      </c>
      <c r="K11" s="3" t="str">
        <v>gov.in</v>
      </c>
      <c r="L11" s="3" t="str" cm="1">
        <f t="array" ref="L11:M11">_xlfn.TEXTSPLIT(K11,".")</f>
        <v>gov</v>
      </c>
      <c r="M11" s="3" t="str">
        <v>in</v>
      </c>
    </row>
    <row r="12" spans="4:13" x14ac:dyDescent="0.35">
      <c r="D12">
        <v>12</v>
      </c>
      <c r="E12" t="s">
        <v>0</v>
      </c>
      <c r="F12">
        <f>SUM(D2:D13)</f>
        <v>144</v>
      </c>
      <c r="I12" s="4" t="s">
        <v>8</v>
      </c>
      <c r="J12" s="3" t="str" cm="1">
        <f t="array" ref="J12:K12">_xlfn.TEXTSPLIT(I12,"@")</f>
        <v>wxyz12345</v>
      </c>
      <c r="K12" s="3" t="str">
        <v>orkut.com</v>
      </c>
      <c r="L12" s="3" t="str" cm="1">
        <f t="array" ref="L12:M12">_xlfn.TEXTSPLIT(K12,".")</f>
        <v>orkut</v>
      </c>
      <c r="M12" s="3" t="str">
        <v>com</v>
      </c>
    </row>
    <row r="13" spans="4:13" x14ac:dyDescent="0.35">
      <c r="D13">
        <v>12</v>
      </c>
      <c r="E13" t="s">
        <v>1</v>
      </c>
      <c r="F13">
        <f>PRODUCT(D2:D13)</f>
        <v>8916100448256</v>
      </c>
    </row>
    <row r="14" spans="4:13" x14ac:dyDescent="0.35">
      <c r="D14">
        <v>13</v>
      </c>
      <c r="E14" t="s">
        <v>2</v>
      </c>
      <c r="F14">
        <f>MEDIAN(D2:D13)</f>
        <v>12</v>
      </c>
    </row>
    <row r="15" spans="4:13" x14ac:dyDescent="0.35">
      <c r="D15">
        <v>14</v>
      </c>
      <c r="E15" t="s">
        <v>3</v>
      </c>
      <c r="F15">
        <f>MODE(D2:D17)</f>
        <v>12</v>
      </c>
    </row>
    <row r="16" spans="4:13" x14ac:dyDescent="0.35">
      <c r="D16">
        <v>15</v>
      </c>
    </row>
    <row r="17" spans="4:4" x14ac:dyDescent="0.35">
      <c r="D17">
        <v>15</v>
      </c>
    </row>
    <row r="18" spans="4:4" x14ac:dyDescent="0.35">
      <c r="D18">
        <f>SUM(D2:D17)</f>
        <v>201</v>
      </c>
    </row>
  </sheetData>
  <hyperlinks>
    <hyperlink ref="I9" r:id="rId1" xr:uid="{93AEF285-F75D-4F29-8047-5E390579105A}"/>
    <hyperlink ref="I10" r:id="rId2" xr:uid="{A99F1224-6ED0-4F65-B274-72EA7C70E328}"/>
    <hyperlink ref="I11" r:id="rId3" xr:uid="{9E22DBA3-47FA-4350-BC1B-2466816D527E}"/>
    <hyperlink ref="I12" r:id="rId4" xr:uid="{AAF05BD0-2BA9-4FA9-86C2-25DD0F374C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C6FB-7C03-407F-A35A-0B62B034C192}">
  <dimension ref="A1:G201"/>
  <sheetViews>
    <sheetView topLeftCell="A184" workbookViewId="0">
      <selection activeCell="C193" sqref="C193"/>
    </sheetView>
  </sheetViews>
  <sheetFormatPr defaultRowHeight="14.5" x14ac:dyDescent="0.35"/>
  <cols>
    <col min="1" max="1" width="12.54296875" bestFit="1" customWidth="1"/>
    <col min="2" max="2" width="13.1796875" bestFit="1" customWidth="1"/>
    <col min="3" max="3" width="14.6328125" bestFit="1" customWidth="1"/>
    <col min="4" max="4" width="8.08984375" bestFit="1" customWidth="1"/>
    <col min="5" max="5" width="15.7265625" bestFit="1" customWidth="1"/>
    <col min="6" max="6" width="11.7265625" bestFit="1" customWidth="1"/>
    <col min="7" max="7" width="13.7265625" bestFit="1" customWidth="1"/>
  </cols>
  <sheetData>
    <row r="1" spans="1:7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1547.53</v>
      </c>
      <c r="G2">
        <v>2023</v>
      </c>
    </row>
    <row r="3" spans="1:7" x14ac:dyDescent="0.35">
      <c r="A3" t="s">
        <v>63</v>
      </c>
      <c r="B3" t="s">
        <v>64</v>
      </c>
      <c r="C3" t="s">
        <v>65</v>
      </c>
      <c r="D3" t="s">
        <v>66</v>
      </c>
      <c r="E3" t="s">
        <v>67</v>
      </c>
      <c r="F3">
        <v>153.53</v>
      </c>
      <c r="G3">
        <v>2020</v>
      </c>
    </row>
    <row r="4" spans="1:7" x14ac:dyDescent="0.35">
      <c r="A4" t="s">
        <v>68</v>
      </c>
      <c r="B4" t="s">
        <v>59</v>
      </c>
      <c r="C4" t="s">
        <v>65</v>
      </c>
      <c r="D4" t="s">
        <v>61</v>
      </c>
      <c r="E4" t="s">
        <v>69</v>
      </c>
      <c r="F4">
        <v>1120.6500000000001</v>
      </c>
      <c r="G4">
        <v>2017</v>
      </c>
    </row>
    <row r="5" spans="1:7" x14ac:dyDescent="0.35">
      <c r="A5" t="s">
        <v>70</v>
      </c>
      <c r="B5" t="s">
        <v>59</v>
      </c>
      <c r="C5" t="s">
        <v>60</v>
      </c>
      <c r="D5" t="s">
        <v>66</v>
      </c>
      <c r="E5" t="s">
        <v>71</v>
      </c>
      <c r="F5">
        <v>1611.94</v>
      </c>
      <c r="G5">
        <v>2022</v>
      </c>
    </row>
    <row r="6" spans="1:7" x14ac:dyDescent="0.35">
      <c r="A6" t="s">
        <v>72</v>
      </c>
      <c r="B6" t="s">
        <v>59</v>
      </c>
      <c r="C6" t="s">
        <v>73</v>
      </c>
      <c r="D6" t="s">
        <v>61</v>
      </c>
      <c r="E6" t="s">
        <v>74</v>
      </c>
      <c r="F6">
        <v>1316.69</v>
      </c>
      <c r="G6">
        <v>2020</v>
      </c>
    </row>
    <row r="7" spans="1:7" x14ac:dyDescent="0.35">
      <c r="A7" t="s">
        <v>75</v>
      </c>
      <c r="B7" t="s">
        <v>76</v>
      </c>
      <c r="C7" t="s">
        <v>73</v>
      </c>
      <c r="D7" t="s">
        <v>66</v>
      </c>
      <c r="E7" t="s">
        <v>77</v>
      </c>
      <c r="F7">
        <v>1866.32</v>
      </c>
      <c r="G7">
        <v>2020</v>
      </c>
    </row>
    <row r="8" spans="1:7" x14ac:dyDescent="0.35">
      <c r="A8" t="s">
        <v>78</v>
      </c>
      <c r="B8" t="s">
        <v>76</v>
      </c>
      <c r="C8" t="s">
        <v>79</v>
      </c>
      <c r="D8" t="s">
        <v>61</v>
      </c>
      <c r="E8" t="s">
        <v>80</v>
      </c>
      <c r="F8">
        <v>195.73</v>
      </c>
      <c r="G8">
        <v>2022</v>
      </c>
    </row>
    <row r="9" spans="1:7" x14ac:dyDescent="0.35">
      <c r="A9" t="s">
        <v>81</v>
      </c>
      <c r="B9" t="s">
        <v>64</v>
      </c>
      <c r="C9" t="s">
        <v>73</v>
      </c>
      <c r="D9" t="s">
        <v>61</v>
      </c>
      <c r="E9" t="s">
        <v>82</v>
      </c>
      <c r="F9">
        <v>589.77</v>
      </c>
      <c r="G9">
        <v>2017</v>
      </c>
    </row>
    <row r="10" spans="1:7" x14ac:dyDescent="0.35">
      <c r="A10" t="s">
        <v>83</v>
      </c>
      <c r="B10" t="s">
        <v>76</v>
      </c>
      <c r="C10" t="s">
        <v>65</v>
      </c>
      <c r="D10" t="s">
        <v>84</v>
      </c>
      <c r="E10" t="s">
        <v>85</v>
      </c>
      <c r="F10">
        <v>1842.51</v>
      </c>
      <c r="G10">
        <v>2015</v>
      </c>
    </row>
    <row r="11" spans="1:7" x14ac:dyDescent="0.35">
      <c r="A11" t="s">
        <v>86</v>
      </c>
      <c r="B11" t="s">
        <v>59</v>
      </c>
      <c r="C11" t="s">
        <v>60</v>
      </c>
      <c r="D11" t="s">
        <v>66</v>
      </c>
      <c r="E11" t="s">
        <v>87</v>
      </c>
      <c r="F11">
        <v>1541.76</v>
      </c>
      <c r="G11">
        <v>2023</v>
      </c>
    </row>
    <row r="12" spans="1:7" x14ac:dyDescent="0.35">
      <c r="A12" t="s">
        <v>88</v>
      </c>
      <c r="B12" t="s">
        <v>76</v>
      </c>
      <c r="C12" t="s">
        <v>79</v>
      </c>
      <c r="D12" t="s">
        <v>66</v>
      </c>
      <c r="E12" t="s">
        <v>89</v>
      </c>
      <c r="F12">
        <v>1219.49</v>
      </c>
      <c r="G12">
        <v>2018</v>
      </c>
    </row>
    <row r="13" spans="1:7" x14ac:dyDescent="0.35">
      <c r="A13" t="s">
        <v>90</v>
      </c>
      <c r="B13" t="s">
        <v>64</v>
      </c>
      <c r="C13" t="s">
        <v>73</v>
      </c>
      <c r="D13" t="s">
        <v>66</v>
      </c>
      <c r="E13" t="s">
        <v>91</v>
      </c>
      <c r="F13">
        <v>1674.29</v>
      </c>
      <c r="G13">
        <v>2017</v>
      </c>
    </row>
    <row r="14" spans="1:7" x14ac:dyDescent="0.35">
      <c r="A14" t="s">
        <v>92</v>
      </c>
      <c r="B14" t="s">
        <v>76</v>
      </c>
      <c r="C14" t="s">
        <v>73</v>
      </c>
      <c r="D14" t="s">
        <v>66</v>
      </c>
      <c r="E14" t="s">
        <v>93</v>
      </c>
      <c r="F14">
        <v>1797.28</v>
      </c>
      <c r="G14">
        <v>2022</v>
      </c>
    </row>
    <row r="15" spans="1:7" x14ac:dyDescent="0.35">
      <c r="A15" t="s">
        <v>94</v>
      </c>
      <c r="B15" t="s">
        <v>59</v>
      </c>
      <c r="C15" t="s">
        <v>65</v>
      </c>
      <c r="D15" t="s">
        <v>61</v>
      </c>
      <c r="E15" t="s">
        <v>95</v>
      </c>
      <c r="F15">
        <v>1946.8</v>
      </c>
      <c r="G15">
        <v>2023</v>
      </c>
    </row>
    <row r="16" spans="1:7" x14ac:dyDescent="0.35">
      <c r="A16" t="s">
        <v>96</v>
      </c>
      <c r="B16" t="s">
        <v>59</v>
      </c>
      <c r="C16" t="s">
        <v>79</v>
      </c>
      <c r="D16" t="s">
        <v>66</v>
      </c>
      <c r="E16" t="s">
        <v>97</v>
      </c>
      <c r="F16">
        <v>1997.11</v>
      </c>
      <c r="G16">
        <v>2018</v>
      </c>
    </row>
    <row r="17" spans="1:7" x14ac:dyDescent="0.35">
      <c r="A17" t="s">
        <v>98</v>
      </c>
      <c r="B17" t="s">
        <v>64</v>
      </c>
      <c r="C17" t="s">
        <v>79</v>
      </c>
      <c r="D17" t="s">
        <v>66</v>
      </c>
      <c r="E17" t="s">
        <v>99</v>
      </c>
      <c r="F17">
        <v>322.32</v>
      </c>
      <c r="G17">
        <v>2020</v>
      </c>
    </row>
    <row r="18" spans="1:7" x14ac:dyDescent="0.35">
      <c r="A18" t="s">
        <v>100</v>
      </c>
      <c r="B18" t="s">
        <v>76</v>
      </c>
      <c r="C18" t="s">
        <v>79</v>
      </c>
      <c r="D18" t="s">
        <v>84</v>
      </c>
      <c r="E18" t="s">
        <v>101</v>
      </c>
      <c r="F18">
        <v>187.56</v>
      </c>
      <c r="G18">
        <v>2015</v>
      </c>
    </row>
    <row r="19" spans="1:7" x14ac:dyDescent="0.35">
      <c r="A19" t="s">
        <v>102</v>
      </c>
      <c r="B19" t="s">
        <v>64</v>
      </c>
      <c r="C19" t="s">
        <v>65</v>
      </c>
      <c r="D19" t="s">
        <v>84</v>
      </c>
      <c r="E19" t="s">
        <v>103</v>
      </c>
      <c r="F19">
        <v>193.26</v>
      </c>
      <c r="G19">
        <v>2021</v>
      </c>
    </row>
    <row r="20" spans="1:7" x14ac:dyDescent="0.35">
      <c r="A20" t="s">
        <v>104</v>
      </c>
      <c r="B20" t="s">
        <v>59</v>
      </c>
      <c r="C20" t="s">
        <v>73</v>
      </c>
      <c r="D20" t="s">
        <v>66</v>
      </c>
      <c r="E20" t="s">
        <v>105</v>
      </c>
      <c r="F20">
        <v>78.75</v>
      </c>
      <c r="G20">
        <v>2015</v>
      </c>
    </row>
    <row r="21" spans="1:7" x14ac:dyDescent="0.35">
      <c r="A21" t="s">
        <v>106</v>
      </c>
      <c r="B21" t="s">
        <v>59</v>
      </c>
      <c r="C21" t="s">
        <v>65</v>
      </c>
      <c r="D21" t="s">
        <v>66</v>
      </c>
      <c r="E21" t="s">
        <v>107</v>
      </c>
      <c r="F21">
        <v>1945.05</v>
      </c>
      <c r="G21">
        <v>2023</v>
      </c>
    </row>
    <row r="22" spans="1:7" x14ac:dyDescent="0.35">
      <c r="A22" t="s">
        <v>108</v>
      </c>
      <c r="B22" t="s">
        <v>64</v>
      </c>
      <c r="C22" t="s">
        <v>60</v>
      </c>
      <c r="D22" t="s">
        <v>84</v>
      </c>
      <c r="E22" t="s">
        <v>109</v>
      </c>
      <c r="F22">
        <v>234.8</v>
      </c>
      <c r="G22">
        <v>2016</v>
      </c>
    </row>
    <row r="23" spans="1:7" x14ac:dyDescent="0.35">
      <c r="A23" t="s">
        <v>110</v>
      </c>
      <c r="B23" t="s">
        <v>64</v>
      </c>
      <c r="C23" t="s">
        <v>73</v>
      </c>
      <c r="D23" t="s">
        <v>61</v>
      </c>
      <c r="E23" t="s">
        <v>111</v>
      </c>
      <c r="F23">
        <v>1691.39</v>
      </c>
      <c r="G23">
        <v>2021</v>
      </c>
    </row>
    <row r="24" spans="1:7" x14ac:dyDescent="0.35">
      <c r="A24" t="s">
        <v>112</v>
      </c>
      <c r="B24" t="s">
        <v>59</v>
      </c>
      <c r="C24" t="s">
        <v>79</v>
      </c>
      <c r="D24" t="s">
        <v>66</v>
      </c>
      <c r="E24" t="s">
        <v>113</v>
      </c>
      <c r="F24">
        <v>1386.09</v>
      </c>
      <c r="G24">
        <v>2018</v>
      </c>
    </row>
    <row r="25" spans="1:7" x14ac:dyDescent="0.35">
      <c r="A25" t="s">
        <v>114</v>
      </c>
      <c r="B25" t="s">
        <v>59</v>
      </c>
      <c r="C25" t="s">
        <v>79</v>
      </c>
      <c r="D25" t="s">
        <v>66</v>
      </c>
      <c r="E25" t="s">
        <v>115</v>
      </c>
      <c r="F25">
        <v>1000.74</v>
      </c>
      <c r="G25">
        <v>2019</v>
      </c>
    </row>
    <row r="26" spans="1:7" x14ac:dyDescent="0.35">
      <c r="A26" t="s">
        <v>116</v>
      </c>
      <c r="B26" t="s">
        <v>76</v>
      </c>
      <c r="C26" t="s">
        <v>60</v>
      </c>
      <c r="D26" t="s">
        <v>84</v>
      </c>
      <c r="E26" t="s">
        <v>117</v>
      </c>
      <c r="F26">
        <v>726.06</v>
      </c>
      <c r="G26">
        <v>2023</v>
      </c>
    </row>
    <row r="27" spans="1:7" x14ac:dyDescent="0.35">
      <c r="A27" t="s">
        <v>118</v>
      </c>
      <c r="B27" t="s">
        <v>59</v>
      </c>
      <c r="C27" t="s">
        <v>60</v>
      </c>
      <c r="D27" t="s">
        <v>61</v>
      </c>
      <c r="E27" t="s">
        <v>119</v>
      </c>
      <c r="F27">
        <v>739.61</v>
      </c>
      <c r="G27">
        <v>2022</v>
      </c>
    </row>
    <row r="28" spans="1:7" x14ac:dyDescent="0.35">
      <c r="A28" t="s">
        <v>120</v>
      </c>
      <c r="B28" t="s">
        <v>64</v>
      </c>
      <c r="C28" t="s">
        <v>79</v>
      </c>
      <c r="D28" t="s">
        <v>66</v>
      </c>
      <c r="E28" t="s">
        <v>121</v>
      </c>
      <c r="F28">
        <v>544.99</v>
      </c>
      <c r="G28">
        <v>2020</v>
      </c>
    </row>
    <row r="29" spans="1:7" x14ac:dyDescent="0.35">
      <c r="A29" t="s">
        <v>122</v>
      </c>
      <c r="B29" t="s">
        <v>64</v>
      </c>
      <c r="C29" t="s">
        <v>60</v>
      </c>
      <c r="D29" t="s">
        <v>66</v>
      </c>
      <c r="E29" t="s">
        <v>123</v>
      </c>
      <c r="F29">
        <v>1826.49</v>
      </c>
      <c r="G29">
        <v>2020</v>
      </c>
    </row>
    <row r="30" spans="1:7" x14ac:dyDescent="0.35">
      <c r="A30" t="s">
        <v>124</v>
      </c>
      <c r="B30" t="s">
        <v>59</v>
      </c>
      <c r="C30" t="s">
        <v>65</v>
      </c>
      <c r="D30" t="s">
        <v>61</v>
      </c>
      <c r="E30" t="s">
        <v>125</v>
      </c>
      <c r="F30">
        <v>1465</v>
      </c>
      <c r="G30">
        <v>2017</v>
      </c>
    </row>
    <row r="31" spans="1:7" x14ac:dyDescent="0.35">
      <c r="A31" t="s">
        <v>126</v>
      </c>
      <c r="B31" t="s">
        <v>76</v>
      </c>
      <c r="C31" t="s">
        <v>60</v>
      </c>
      <c r="D31" t="s">
        <v>61</v>
      </c>
      <c r="E31" t="s">
        <v>127</v>
      </c>
      <c r="F31">
        <v>100.56</v>
      </c>
      <c r="G31">
        <v>2015</v>
      </c>
    </row>
    <row r="32" spans="1:7" x14ac:dyDescent="0.35">
      <c r="A32" t="s">
        <v>128</v>
      </c>
      <c r="B32" t="s">
        <v>59</v>
      </c>
      <c r="C32" t="s">
        <v>73</v>
      </c>
      <c r="D32" t="s">
        <v>84</v>
      </c>
      <c r="E32" t="s">
        <v>129</v>
      </c>
      <c r="F32">
        <v>949.97</v>
      </c>
      <c r="G32">
        <v>2021</v>
      </c>
    </row>
    <row r="33" spans="1:7" x14ac:dyDescent="0.35">
      <c r="A33" t="s">
        <v>130</v>
      </c>
      <c r="B33" t="s">
        <v>59</v>
      </c>
      <c r="C33" t="s">
        <v>79</v>
      </c>
      <c r="D33" t="s">
        <v>66</v>
      </c>
      <c r="E33" t="s">
        <v>131</v>
      </c>
      <c r="F33">
        <v>598.54</v>
      </c>
      <c r="G33">
        <v>2015</v>
      </c>
    </row>
    <row r="34" spans="1:7" x14ac:dyDescent="0.35">
      <c r="A34" t="s">
        <v>132</v>
      </c>
      <c r="B34" t="s">
        <v>76</v>
      </c>
      <c r="C34" t="s">
        <v>65</v>
      </c>
      <c r="D34" t="s">
        <v>84</v>
      </c>
      <c r="E34" t="s">
        <v>133</v>
      </c>
      <c r="F34">
        <v>106.48</v>
      </c>
      <c r="G34">
        <v>2021</v>
      </c>
    </row>
    <row r="35" spans="1:7" x14ac:dyDescent="0.35">
      <c r="A35" t="s">
        <v>134</v>
      </c>
      <c r="B35" t="s">
        <v>76</v>
      </c>
      <c r="C35" t="s">
        <v>65</v>
      </c>
      <c r="D35" t="s">
        <v>61</v>
      </c>
      <c r="E35" t="s">
        <v>135</v>
      </c>
      <c r="F35">
        <v>1775.13</v>
      </c>
      <c r="G35">
        <v>2019</v>
      </c>
    </row>
    <row r="36" spans="1:7" x14ac:dyDescent="0.35">
      <c r="A36" t="s">
        <v>136</v>
      </c>
      <c r="B36" t="s">
        <v>59</v>
      </c>
      <c r="C36" t="s">
        <v>65</v>
      </c>
      <c r="D36" t="s">
        <v>84</v>
      </c>
      <c r="E36" t="s">
        <v>137</v>
      </c>
      <c r="F36">
        <v>1553.46</v>
      </c>
      <c r="G36">
        <v>2020</v>
      </c>
    </row>
    <row r="37" spans="1:7" x14ac:dyDescent="0.35">
      <c r="A37" t="s">
        <v>138</v>
      </c>
      <c r="B37" t="s">
        <v>76</v>
      </c>
      <c r="C37" t="s">
        <v>73</v>
      </c>
      <c r="D37" t="s">
        <v>66</v>
      </c>
      <c r="E37" t="s">
        <v>139</v>
      </c>
      <c r="F37">
        <v>692.98</v>
      </c>
      <c r="G37">
        <v>2020</v>
      </c>
    </row>
    <row r="38" spans="1:7" x14ac:dyDescent="0.35">
      <c r="A38" t="s">
        <v>140</v>
      </c>
      <c r="B38" t="s">
        <v>59</v>
      </c>
      <c r="C38" t="s">
        <v>79</v>
      </c>
      <c r="D38" t="s">
        <v>61</v>
      </c>
      <c r="E38" t="s">
        <v>141</v>
      </c>
      <c r="F38">
        <v>1603.29</v>
      </c>
      <c r="G38">
        <v>2017</v>
      </c>
    </row>
    <row r="39" spans="1:7" x14ac:dyDescent="0.35">
      <c r="A39" t="s">
        <v>142</v>
      </c>
      <c r="B39" t="s">
        <v>59</v>
      </c>
      <c r="C39" t="s">
        <v>79</v>
      </c>
      <c r="D39" t="s">
        <v>84</v>
      </c>
      <c r="E39" t="s">
        <v>143</v>
      </c>
      <c r="F39">
        <v>683.04</v>
      </c>
      <c r="G39">
        <v>2015</v>
      </c>
    </row>
    <row r="40" spans="1:7" x14ac:dyDescent="0.35">
      <c r="A40" t="s">
        <v>144</v>
      </c>
      <c r="B40" t="s">
        <v>59</v>
      </c>
      <c r="C40" t="s">
        <v>60</v>
      </c>
      <c r="D40" t="s">
        <v>61</v>
      </c>
      <c r="E40" t="s">
        <v>145</v>
      </c>
      <c r="F40">
        <v>650.37</v>
      </c>
      <c r="G40">
        <v>2021</v>
      </c>
    </row>
    <row r="41" spans="1:7" x14ac:dyDescent="0.35">
      <c r="A41" t="s">
        <v>146</v>
      </c>
      <c r="B41" t="s">
        <v>59</v>
      </c>
      <c r="C41" t="s">
        <v>65</v>
      </c>
      <c r="D41" t="s">
        <v>66</v>
      </c>
      <c r="E41" t="s">
        <v>147</v>
      </c>
      <c r="F41">
        <v>1859.81</v>
      </c>
      <c r="G41">
        <v>2017</v>
      </c>
    </row>
    <row r="42" spans="1:7" x14ac:dyDescent="0.35">
      <c r="A42" t="s">
        <v>148</v>
      </c>
      <c r="B42" t="s">
        <v>76</v>
      </c>
      <c r="C42" t="s">
        <v>79</v>
      </c>
      <c r="D42" t="s">
        <v>84</v>
      </c>
      <c r="E42" t="s">
        <v>149</v>
      </c>
      <c r="F42">
        <v>1954.99</v>
      </c>
      <c r="G42">
        <v>2015</v>
      </c>
    </row>
    <row r="43" spans="1:7" x14ac:dyDescent="0.35">
      <c r="A43" t="s">
        <v>150</v>
      </c>
      <c r="B43" t="s">
        <v>76</v>
      </c>
      <c r="C43" t="s">
        <v>73</v>
      </c>
      <c r="D43" t="s">
        <v>84</v>
      </c>
      <c r="E43" t="s">
        <v>151</v>
      </c>
      <c r="F43">
        <v>1070.93</v>
      </c>
      <c r="G43">
        <v>2017</v>
      </c>
    </row>
    <row r="44" spans="1:7" x14ac:dyDescent="0.35">
      <c r="A44" t="s">
        <v>152</v>
      </c>
      <c r="B44" t="s">
        <v>59</v>
      </c>
      <c r="C44" t="s">
        <v>60</v>
      </c>
      <c r="D44" t="s">
        <v>61</v>
      </c>
      <c r="E44" t="s">
        <v>153</v>
      </c>
      <c r="F44">
        <v>1906.27</v>
      </c>
      <c r="G44">
        <v>2015</v>
      </c>
    </row>
    <row r="45" spans="1:7" x14ac:dyDescent="0.35">
      <c r="A45" t="s">
        <v>154</v>
      </c>
      <c r="B45" t="s">
        <v>64</v>
      </c>
      <c r="C45" t="s">
        <v>60</v>
      </c>
      <c r="D45" t="s">
        <v>66</v>
      </c>
      <c r="E45" t="s">
        <v>155</v>
      </c>
      <c r="F45">
        <v>1781.59</v>
      </c>
      <c r="G45">
        <v>2022</v>
      </c>
    </row>
    <row r="46" spans="1:7" x14ac:dyDescent="0.35">
      <c r="A46" t="s">
        <v>156</v>
      </c>
      <c r="B46" t="s">
        <v>64</v>
      </c>
      <c r="C46" t="s">
        <v>73</v>
      </c>
      <c r="D46" t="s">
        <v>84</v>
      </c>
      <c r="E46" t="s">
        <v>157</v>
      </c>
      <c r="F46">
        <v>1060.1600000000001</v>
      </c>
      <c r="G46">
        <v>2020</v>
      </c>
    </row>
    <row r="47" spans="1:7" x14ac:dyDescent="0.35">
      <c r="A47" t="s">
        <v>158</v>
      </c>
      <c r="B47" t="s">
        <v>64</v>
      </c>
      <c r="C47" t="s">
        <v>65</v>
      </c>
      <c r="D47" t="s">
        <v>61</v>
      </c>
      <c r="E47" t="s">
        <v>159</v>
      </c>
      <c r="F47">
        <v>776.86</v>
      </c>
      <c r="G47">
        <v>2019</v>
      </c>
    </row>
    <row r="48" spans="1:7" x14ac:dyDescent="0.35">
      <c r="A48" t="s">
        <v>160</v>
      </c>
      <c r="B48" t="s">
        <v>76</v>
      </c>
      <c r="C48" t="s">
        <v>73</v>
      </c>
      <c r="D48" t="s">
        <v>84</v>
      </c>
      <c r="E48" t="s">
        <v>161</v>
      </c>
      <c r="F48">
        <v>1435.19</v>
      </c>
      <c r="G48">
        <v>2017</v>
      </c>
    </row>
    <row r="49" spans="1:7" x14ac:dyDescent="0.35">
      <c r="A49" t="s">
        <v>162</v>
      </c>
      <c r="B49" t="s">
        <v>76</v>
      </c>
      <c r="C49" t="s">
        <v>73</v>
      </c>
      <c r="D49" t="s">
        <v>84</v>
      </c>
      <c r="E49" t="s">
        <v>163</v>
      </c>
      <c r="F49">
        <v>938.5</v>
      </c>
      <c r="G49">
        <v>2018</v>
      </c>
    </row>
    <row r="50" spans="1:7" x14ac:dyDescent="0.35">
      <c r="A50" t="s">
        <v>164</v>
      </c>
      <c r="B50" t="s">
        <v>64</v>
      </c>
      <c r="C50" t="s">
        <v>73</v>
      </c>
      <c r="D50" t="s">
        <v>84</v>
      </c>
      <c r="E50" t="s">
        <v>165</v>
      </c>
      <c r="F50">
        <v>1230.17</v>
      </c>
      <c r="G50">
        <v>2022</v>
      </c>
    </row>
    <row r="51" spans="1:7" x14ac:dyDescent="0.35">
      <c r="A51" t="s">
        <v>166</v>
      </c>
      <c r="B51" t="s">
        <v>64</v>
      </c>
      <c r="C51" t="s">
        <v>79</v>
      </c>
      <c r="D51" t="s">
        <v>66</v>
      </c>
      <c r="E51" t="s">
        <v>167</v>
      </c>
      <c r="F51">
        <v>1981.29</v>
      </c>
      <c r="G51">
        <v>2019</v>
      </c>
    </row>
    <row r="52" spans="1:7" x14ac:dyDescent="0.35">
      <c r="A52" t="s">
        <v>168</v>
      </c>
      <c r="B52" t="s">
        <v>59</v>
      </c>
      <c r="C52" t="s">
        <v>79</v>
      </c>
      <c r="D52" t="s">
        <v>84</v>
      </c>
      <c r="E52" t="s">
        <v>169</v>
      </c>
      <c r="F52">
        <v>1559.14</v>
      </c>
      <c r="G52">
        <v>2018</v>
      </c>
    </row>
    <row r="53" spans="1:7" x14ac:dyDescent="0.35">
      <c r="A53" t="s">
        <v>170</v>
      </c>
      <c r="B53" t="s">
        <v>76</v>
      </c>
      <c r="C53" t="s">
        <v>65</v>
      </c>
      <c r="D53" t="s">
        <v>61</v>
      </c>
      <c r="E53" t="s">
        <v>171</v>
      </c>
      <c r="F53">
        <v>701.84</v>
      </c>
      <c r="G53">
        <v>2019</v>
      </c>
    </row>
    <row r="54" spans="1:7" x14ac:dyDescent="0.35">
      <c r="A54" t="s">
        <v>172</v>
      </c>
      <c r="B54" t="s">
        <v>64</v>
      </c>
      <c r="C54" t="s">
        <v>73</v>
      </c>
      <c r="D54" t="s">
        <v>84</v>
      </c>
      <c r="E54" t="s">
        <v>173</v>
      </c>
      <c r="F54">
        <v>223.55</v>
      </c>
      <c r="G54">
        <v>2019</v>
      </c>
    </row>
    <row r="55" spans="1:7" x14ac:dyDescent="0.35">
      <c r="A55" t="s">
        <v>174</v>
      </c>
      <c r="B55" t="s">
        <v>64</v>
      </c>
      <c r="C55" t="s">
        <v>73</v>
      </c>
      <c r="D55" t="s">
        <v>66</v>
      </c>
      <c r="E55" t="s">
        <v>175</v>
      </c>
      <c r="F55">
        <v>410.57</v>
      </c>
      <c r="G55">
        <v>2022</v>
      </c>
    </row>
    <row r="56" spans="1:7" x14ac:dyDescent="0.35">
      <c r="A56" t="s">
        <v>176</v>
      </c>
      <c r="B56" t="s">
        <v>64</v>
      </c>
      <c r="C56" t="s">
        <v>60</v>
      </c>
      <c r="D56" t="s">
        <v>61</v>
      </c>
      <c r="E56" t="s">
        <v>177</v>
      </c>
      <c r="F56">
        <v>1077.3599999999999</v>
      </c>
      <c r="G56">
        <v>2019</v>
      </c>
    </row>
    <row r="57" spans="1:7" x14ac:dyDescent="0.35">
      <c r="A57" t="s">
        <v>178</v>
      </c>
      <c r="B57" t="s">
        <v>64</v>
      </c>
      <c r="C57" t="s">
        <v>79</v>
      </c>
      <c r="D57" t="s">
        <v>66</v>
      </c>
      <c r="E57" t="s">
        <v>179</v>
      </c>
      <c r="F57">
        <v>863.35</v>
      </c>
      <c r="G57">
        <v>2020</v>
      </c>
    </row>
    <row r="58" spans="1:7" x14ac:dyDescent="0.35">
      <c r="A58" t="s">
        <v>180</v>
      </c>
      <c r="B58" t="s">
        <v>64</v>
      </c>
      <c r="C58" t="s">
        <v>79</v>
      </c>
      <c r="D58" t="s">
        <v>84</v>
      </c>
      <c r="E58" t="s">
        <v>181</v>
      </c>
      <c r="F58">
        <v>1611.29</v>
      </c>
      <c r="G58">
        <v>2022</v>
      </c>
    </row>
    <row r="59" spans="1:7" x14ac:dyDescent="0.35">
      <c r="A59" t="s">
        <v>182</v>
      </c>
      <c r="B59" t="s">
        <v>76</v>
      </c>
      <c r="C59" t="s">
        <v>79</v>
      </c>
      <c r="D59" t="s">
        <v>66</v>
      </c>
      <c r="E59" t="s">
        <v>183</v>
      </c>
      <c r="F59">
        <v>1869.74</v>
      </c>
      <c r="G59">
        <v>2018</v>
      </c>
    </row>
    <row r="60" spans="1:7" x14ac:dyDescent="0.35">
      <c r="A60" t="s">
        <v>184</v>
      </c>
      <c r="B60" t="s">
        <v>76</v>
      </c>
      <c r="C60" t="s">
        <v>65</v>
      </c>
      <c r="D60" t="s">
        <v>61</v>
      </c>
      <c r="E60" t="s">
        <v>185</v>
      </c>
      <c r="F60">
        <v>396.84</v>
      </c>
      <c r="G60">
        <v>2015</v>
      </c>
    </row>
    <row r="61" spans="1:7" x14ac:dyDescent="0.35">
      <c r="A61" t="s">
        <v>186</v>
      </c>
      <c r="B61" t="s">
        <v>64</v>
      </c>
      <c r="C61" t="s">
        <v>73</v>
      </c>
      <c r="D61" t="s">
        <v>84</v>
      </c>
      <c r="E61" t="s">
        <v>187</v>
      </c>
      <c r="F61">
        <v>1727.13</v>
      </c>
      <c r="G61">
        <v>2017</v>
      </c>
    </row>
    <row r="62" spans="1:7" x14ac:dyDescent="0.35">
      <c r="A62" t="s">
        <v>188</v>
      </c>
      <c r="B62" t="s">
        <v>64</v>
      </c>
      <c r="C62" t="s">
        <v>65</v>
      </c>
      <c r="D62" t="s">
        <v>66</v>
      </c>
      <c r="E62" t="s">
        <v>189</v>
      </c>
      <c r="F62">
        <v>1916.92</v>
      </c>
      <c r="G62">
        <v>2016</v>
      </c>
    </row>
    <row r="63" spans="1:7" x14ac:dyDescent="0.35">
      <c r="A63" t="s">
        <v>190</v>
      </c>
      <c r="B63" t="s">
        <v>76</v>
      </c>
      <c r="C63" t="s">
        <v>73</v>
      </c>
      <c r="D63" t="s">
        <v>61</v>
      </c>
      <c r="E63" t="s">
        <v>191</v>
      </c>
      <c r="F63">
        <v>1920.97</v>
      </c>
      <c r="G63">
        <v>2019</v>
      </c>
    </row>
    <row r="64" spans="1:7" x14ac:dyDescent="0.35">
      <c r="A64" t="s">
        <v>192</v>
      </c>
      <c r="B64" t="s">
        <v>59</v>
      </c>
      <c r="C64" t="s">
        <v>65</v>
      </c>
      <c r="D64" t="s">
        <v>61</v>
      </c>
      <c r="E64" t="s">
        <v>193</v>
      </c>
      <c r="F64">
        <v>123.83</v>
      </c>
      <c r="G64">
        <v>2019</v>
      </c>
    </row>
    <row r="65" spans="1:7" x14ac:dyDescent="0.35">
      <c r="A65" t="s">
        <v>194</v>
      </c>
      <c r="B65" t="s">
        <v>59</v>
      </c>
      <c r="C65" t="s">
        <v>65</v>
      </c>
      <c r="D65" t="s">
        <v>61</v>
      </c>
      <c r="E65" t="s">
        <v>195</v>
      </c>
      <c r="F65">
        <v>162.29</v>
      </c>
      <c r="G65">
        <v>2018</v>
      </c>
    </row>
    <row r="66" spans="1:7" x14ac:dyDescent="0.35">
      <c r="A66" t="s">
        <v>196</v>
      </c>
      <c r="B66" t="s">
        <v>64</v>
      </c>
      <c r="C66" t="s">
        <v>65</v>
      </c>
      <c r="D66" t="s">
        <v>84</v>
      </c>
      <c r="E66" t="s">
        <v>197</v>
      </c>
      <c r="F66">
        <v>61.3</v>
      </c>
      <c r="G66">
        <v>2018</v>
      </c>
    </row>
    <row r="67" spans="1:7" x14ac:dyDescent="0.35">
      <c r="A67" t="s">
        <v>198</v>
      </c>
      <c r="B67" t="s">
        <v>59</v>
      </c>
      <c r="C67" t="s">
        <v>60</v>
      </c>
      <c r="D67" t="s">
        <v>61</v>
      </c>
      <c r="E67" t="s">
        <v>199</v>
      </c>
      <c r="F67">
        <v>659.73</v>
      </c>
      <c r="G67">
        <v>2020</v>
      </c>
    </row>
    <row r="68" spans="1:7" x14ac:dyDescent="0.35">
      <c r="A68" t="s">
        <v>200</v>
      </c>
      <c r="B68" t="s">
        <v>76</v>
      </c>
      <c r="C68" t="s">
        <v>60</v>
      </c>
      <c r="D68" t="s">
        <v>61</v>
      </c>
      <c r="E68" t="s">
        <v>201</v>
      </c>
      <c r="F68">
        <v>158.61000000000001</v>
      </c>
      <c r="G68">
        <v>2021</v>
      </c>
    </row>
    <row r="69" spans="1:7" x14ac:dyDescent="0.35">
      <c r="A69" t="s">
        <v>202</v>
      </c>
      <c r="B69" t="s">
        <v>64</v>
      </c>
      <c r="C69" t="s">
        <v>60</v>
      </c>
      <c r="D69" t="s">
        <v>84</v>
      </c>
      <c r="E69" t="s">
        <v>203</v>
      </c>
      <c r="F69">
        <v>623.03</v>
      </c>
      <c r="G69">
        <v>2023</v>
      </c>
    </row>
    <row r="70" spans="1:7" x14ac:dyDescent="0.35">
      <c r="A70" t="s">
        <v>204</v>
      </c>
      <c r="B70" t="s">
        <v>64</v>
      </c>
      <c r="C70" t="s">
        <v>79</v>
      </c>
      <c r="D70" t="s">
        <v>84</v>
      </c>
      <c r="E70" t="s">
        <v>205</v>
      </c>
      <c r="F70">
        <v>744.23</v>
      </c>
      <c r="G70">
        <v>2017</v>
      </c>
    </row>
    <row r="71" spans="1:7" x14ac:dyDescent="0.35">
      <c r="A71" t="s">
        <v>206</v>
      </c>
      <c r="B71" t="s">
        <v>59</v>
      </c>
      <c r="C71" t="s">
        <v>60</v>
      </c>
      <c r="D71" t="s">
        <v>66</v>
      </c>
      <c r="E71" t="s">
        <v>207</v>
      </c>
      <c r="F71">
        <v>1909.67</v>
      </c>
      <c r="G71">
        <v>2023</v>
      </c>
    </row>
    <row r="72" spans="1:7" x14ac:dyDescent="0.35">
      <c r="A72" t="s">
        <v>208</v>
      </c>
      <c r="B72" t="s">
        <v>59</v>
      </c>
      <c r="C72" t="s">
        <v>60</v>
      </c>
      <c r="D72" t="s">
        <v>84</v>
      </c>
      <c r="E72" t="s">
        <v>209</v>
      </c>
      <c r="F72">
        <v>980.05</v>
      </c>
      <c r="G72">
        <v>2018</v>
      </c>
    </row>
    <row r="73" spans="1:7" x14ac:dyDescent="0.35">
      <c r="A73" t="s">
        <v>210</v>
      </c>
      <c r="B73" t="s">
        <v>59</v>
      </c>
      <c r="C73" t="s">
        <v>79</v>
      </c>
      <c r="D73" t="s">
        <v>66</v>
      </c>
      <c r="E73" t="s">
        <v>211</v>
      </c>
      <c r="F73">
        <v>592.55999999999995</v>
      </c>
      <c r="G73">
        <v>2018</v>
      </c>
    </row>
    <row r="74" spans="1:7" x14ac:dyDescent="0.35">
      <c r="A74" t="s">
        <v>212</v>
      </c>
      <c r="B74" t="s">
        <v>76</v>
      </c>
      <c r="C74" t="s">
        <v>79</v>
      </c>
      <c r="D74" t="s">
        <v>61</v>
      </c>
      <c r="E74" t="s">
        <v>213</v>
      </c>
      <c r="F74">
        <v>1030.8599999999999</v>
      </c>
      <c r="G74">
        <v>2017</v>
      </c>
    </row>
    <row r="75" spans="1:7" x14ac:dyDescent="0.35">
      <c r="A75" t="s">
        <v>214</v>
      </c>
      <c r="B75" t="s">
        <v>59</v>
      </c>
      <c r="C75" t="s">
        <v>65</v>
      </c>
      <c r="D75" t="s">
        <v>66</v>
      </c>
      <c r="E75" t="s">
        <v>215</v>
      </c>
      <c r="F75">
        <v>1304.55</v>
      </c>
      <c r="G75">
        <v>2021</v>
      </c>
    </row>
    <row r="76" spans="1:7" x14ac:dyDescent="0.35">
      <c r="A76" t="s">
        <v>216</v>
      </c>
      <c r="B76" t="s">
        <v>59</v>
      </c>
      <c r="C76" t="s">
        <v>79</v>
      </c>
      <c r="D76" t="s">
        <v>84</v>
      </c>
      <c r="E76" t="s">
        <v>217</v>
      </c>
      <c r="F76">
        <v>266.93</v>
      </c>
      <c r="G76">
        <v>2023</v>
      </c>
    </row>
    <row r="77" spans="1:7" x14ac:dyDescent="0.35">
      <c r="A77" t="s">
        <v>218</v>
      </c>
      <c r="B77" t="s">
        <v>76</v>
      </c>
      <c r="C77" t="s">
        <v>79</v>
      </c>
      <c r="D77" t="s">
        <v>84</v>
      </c>
      <c r="E77" t="s">
        <v>219</v>
      </c>
      <c r="F77">
        <v>1528.22</v>
      </c>
      <c r="G77">
        <v>2022</v>
      </c>
    </row>
    <row r="78" spans="1:7" x14ac:dyDescent="0.35">
      <c r="A78" t="s">
        <v>220</v>
      </c>
      <c r="B78" t="s">
        <v>76</v>
      </c>
      <c r="C78" t="s">
        <v>65</v>
      </c>
      <c r="D78" t="s">
        <v>61</v>
      </c>
      <c r="E78" t="s">
        <v>221</v>
      </c>
      <c r="F78">
        <v>1711.29</v>
      </c>
      <c r="G78">
        <v>2021</v>
      </c>
    </row>
    <row r="79" spans="1:7" x14ac:dyDescent="0.35">
      <c r="A79" t="s">
        <v>222</v>
      </c>
      <c r="B79" t="s">
        <v>59</v>
      </c>
      <c r="C79" t="s">
        <v>60</v>
      </c>
      <c r="D79" t="s">
        <v>66</v>
      </c>
      <c r="E79" t="s">
        <v>223</v>
      </c>
      <c r="F79">
        <v>1696.29</v>
      </c>
      <c r="G79">
        <v>2021</v>
      </c>
    </row>
    <row r="80" spans="1:7" x14ac:dyDescent="0.35">
      <c r="A80" t="s">
        <v>224</v>
      </c>
      <c r="B80" t="s">
        <v>76</v>
      </c>
      <c r="C80" t="s">
        <v>65</v>
      </c>
      <c r="D80" t="s">
        <v>84</v>
      </c>
      <c r="E80" t="s">
        <v>225</v>
      </c>
      <c r="F80">
        <v>1786.49</v>
      </c>
      <c r="G80">
        <v>2020</v>
      </c>
    </row>
    <row r="81" spans="1:7" x14ac:dyDescent="0.35">
      <c r="A81" t="s">
        <v>226</v>
      </c>
      <c r="B81" t="s">
        <v>76</v>
      </c>
      <c r="C81" t="s">
        <v>65</v>
      </c>
      <c r="D81" t="s">
        <v>84</v>
      </c>
      <c r="E81" t="s">
        <v>227</v>
      </c>
      <c r="F81">
        <v>794.59</v>
      </c>
      <c r="G81">
        <v>2022</v>
      </c>
    </row>
    <row r="82" spans="1:7" x14ac:dyDescent="0.35">
      <c r="A82" t="s">
        <v>228</v>
      </c>
      <c r="B82" t="s">
        <v>59</v>
      </c>
      <c r="C82" t="s">
        <v>65</v>
      </c>
      <c r="D82" t="s">
        <v>66</v>
      </c>
      <c r="E82" t="s">
        <v>229</v>
      </c>
      <c r="F82">
        <v>915.42</v>
      </c>
      <c r="G82">
        <v>2019</v>
      </c>
    </row>
    <row r="83" spans="1:7" x14ac:dyDescent="0.35">
      <c r="A83" t="s">
        <v>230</v>
      </c>
      <c r="B83" t="s">
        <v>76</v>
      </c>
      <c r="C83" t="s">
        <v>65</v>
      </c>
      <c r="D83" t="s">
        <v>84</v>
      </c>
      <c r="E83" t="s">
        <v>231</v>
      </c>
      <c r="F83">
        <v>248.08</v>
      </c>
      <c r="G83">
        <v>2017</v>
      </c>
    </row>
    <row r="84" spans="1:7" x14ac:dyDescent="0.35">
      <c r="A84" t="s">
        <v>232</v>
      </c>
      <c r="B84" t="s">
        <v>76</v>
      </c>
      <c r="C84" t="s">
        <v>65</v>
      </c>
      <c r="D84" t="s">
        <v>61</v>
      </c>
      <c r="E84" t="s">
        <v>233</v>
      </c>
      <c r="F84">
        <v>490.32</v>
      </c>
      <c r="G84">
        <v>2019</v>
      </c>
    </row>
    <row r="85" spans="1:7" x14ac:dyDescent="0.35">
      <c r="A85" t="s">
        <v>234</v>
      </c>
      <c r="B85" t="s">
        <v>64</v>
      </c>
      <c r="C85" t="s">
        <v>73</v>
      </c>
      <c r="D85" t="s">
        <v>66</v>
      </c>
      <c r="E85" t="s">
        <v>235</v>
      </c>
      <c r="F85">
        <v>1944.07</v>
      </c>
      <c r="G85">
        <v>2019</v>
      </c>
    </row>
    <row r="86" spans="1:7" x14ac:dyDescent="0.35">
      <c r="A86" t="s">
        <v>236</v>
      </c>
      <c r="B86" t="s">
        <v>76</v>
      </c>
      <c r="C86" t="s">
        <v>79</v>
      </c>
      <c r="D86" t="s">
        <v>66</v>
      </c>
      <c r="E86" t="s">
        <v>237</v>
      </c>
      <c r="F86">
        <v>605.02</v>
      </c>
      <c r="G86">
        <v>2016</v>
      </c>
    </row>
    <row r="87" spans="1:7" x14ac:dyDescent="0.35">
      <c r="A87" t="s">
        <v>238</v>
      </c>
      <c r="B87" t="s">
        <v>76</v>
      </c>
      <c r="C87" t="s">
        <v>79</v>
      </c>
      <c r="D87" t="s">
        <v>61</v>
      </c>
      <c r="E87" t="s">
        <v>239</v>
      </c>
      <c r="F87">
        <v>1819.42</v>
      </c>
      <c r="G87">
        <v>2016</v>
      </c>
    </row>
    <row r="88" spans="1:7" x14ac:dyDescent="0.35">
      <c r="A88" t="s">
        <v>240</v>
      </c>
      <c r="B88" t="s">
        <v>76</v>
      </c>
      <c r="C88" t="s">
        <v>65</v>
      </c>
      <c r="D88" t="s">
        <v>66</v>
      </c>
      <c r="E88" t="s">
        <v>241</v>
      </c>
      <c r="F88">
        <v>1786.58</v>
      </c>
      <c r="G88">
        <v>2023</v>
      </c>
    </row>
    <row r="89" spans="1:7" x14ac:dyDescent="0.35">
      <c r="A89" t="s">
        <v>242</v>
      </c>
      <c r="B89" t="s">
        <v>64</v>
      </c>
      <c r="C89" t="s">
        <v>65</v>
      </c>
      <c r="D89" t="s">
        <v>61</v>
      </c>
      <c r="E89" t="s">
        <v>243</v>
      </c>
      <c r="F89">
        <v>1848.88</v>
      </c>
      <c r="G89">
        <v>2021</v>
      </c>
    </row>
    <row r="90" spans="1:7" x14ac:dyDescent="0.35">
      <c r="A90" t="s">
        <v>244</v>
      </c>
      <c r="B90" t="s">
        <v>64</v>
      </c>
      <c r="C90" t="s">
        <v>79</v>
      </c>
      <c r="D90" t="s">
        <v>84</v>
      </c>
      <c r="E90" t="s">
        <v>245</v>
      </c>
      <c r="F90">
        <v>354.49</v>
      </c>
      <c r="G90">
        <v>2018</v>
      </c>
    </row>
    <row r="91" spans="1:7" x14ac:dyDescent="0.35">
      <c r="A91" t="s">
        <v>246</v>
      </c>
      <c r="B91" t="s">
        <v>64</v>
      </c>
      <c r="C91" t="s">
        <v>73</v>
      </c>
      <c r="D91" t="s">
        <v>61</v>
      </c>
      <c r="E91" t="s">
        <v>247</v>
      </c>
      <c r="F91">
        <v>1765.46</v>
      </c>
      <c r="G91">
        <v>2020</v>
      </c>
    </row>
    <row r="92" spans="1:7" x14ac:dyDescent="0.35">
      <c r="A92" t="s">
        <v>248</v>
      </c>
      <c r="B92" t="s">
        <v>64</v>
      </c>
      <c r="C92" t="s">
        <v>60</v>
      </c>
      <c r="D92" t="s">
        <v>84</v>
      </c>
      <c r="E92" t="s">
        <v>249</v>
      </c>
      <c r="F92">
        <v>1282.3900000000001</v>
      </c>
      <c r="G92">
        <v>2015</v>
      </c>
    </row>
    <row r="93" spans="1:7" x14ac:dyDescent="0.35">
      <c r="A93" t="s">
        <v>250</v>
      </c>
      <c r="B93" t="s">
        <v>59</v>
      </c>
      <c r="C93" t="s">
        <v>60</v>
      </c>
      <c r="D93" t="s">
        <v>66</v>
      </c>
      <c r="E93" t="s">
        <v>251</v>
      </c>
      <c r="F93">
        <v>460.72</v>
      </c>
      <c r="G93">
        <v>2019</v>
      </c>
    </row>
    <row r="94" spans="1:7" x14ac:dyDescent="0.35">
      <c r="A94" t="s">
        <v>252</v>
      </c>
      <c r="B94" t="s">
        <v>64</v>
      </c>
      <c r="C94" t="s">
        <v>73</v>
      </c>
      <c r="D94" t="s">
        <v>66</v>
      </c>
      <c r="E94" t="s">
        <v>253</v>
      </c>
      <c r="F94">
        <v>722.98</v>
      </c>
      <c r="G94">
        <v>2022</v>
      </c>
    </row>
    <row r="95" spans="1:7" x14ac:dyDescent="0.35">
      <c r="A95" t="s">
        <v>254</v>
      </c>
      <c r="B95" t="s">
        <v>64</v>
      </c>
      <c r="C95" t="s">
        <v>65</v>
      </c>
      <c r="D95" t="s">
        <v>66</v>
      </c>
      <c r="E95" t="s">
        <v>255</v>
      </c>
      <c r="F95">
        <v>361.84</v>
      </c>
      <c r="G95">
        <v>2019</v>
      </c>
    </row>
    <row r="96" spans="1:7" x14ac:dyDescent="0.35">
      <c r="A96" t="s">
        <v>256</v>
      </c>
      <c r="B96" t="s">
        <v>59</v>
      </c>
      <c r="C96" t="s">
        <v>79</v>
      </c>
      <c r="D96" t="s">
        <v>61</v>
      </c>
      <c r="E96" t="s">
        <v>257</v>
      </c>
      <c r="F96">
        <v>916.48</v>
      </c>
      <c r="G96">
        <v>2020</v>
      </c>
    </row>
    <row r="97" spans="1:7" x14ac:dyDescent="0.35">
      <c r="A97" t="s">
        <v>258</v>
      </c>
      <c r="B97" t="s">
        <v>59</v>
      </c>
      <c r="C97" t="s">
        <v>60</v>
      </c>
      <c r="D97" t="s">
        <v>61</v>
      </c>
      <c r="E97" t="s">
        <v>259</v>
      </c>
      <c r="F97">
        <v>213.36</v>
      </c>
      <c r="G97">
        <v>2017</v>
      </c>
    </row>
    <row r="98" spans="1:7" x14ac:dyDescent="0.35">
      <c r="A98" t="s">
        <v>260</v>
      </c>
      <c r="B98" t="s">
        <v>76</v>
      </c>
      <c r="C98" t="s">
        <v>79</v>
      </c>
      <c r="D98" t="s">
        <v>66</v>
      </c>
      <c r="E98" t="s">
        <v>261</v>
      </c>
      <c r="F98">
        <v>372.37</v>
      </c>
      <c r="G98">
        <v>2016</v>
      </c>
    </row>
    <row r="99" spans="1:7" x14ac:dyDescent="0.35">
      <c r="A99" t="s">
        <v>262</v>
      </c>
      <c r="B99" t="s">
        <v>64</v>
      </c>
      <c r="C99" t="s">
        <v>65</v>
      </c>
      <c r="D99" t="s">
        <v>61</v>
      </c>
      <c r="E99" t="s">
        <v>263</v>
      </c>
      <c r="F99">
        <v>434.53</v>
      </c>
      <c r="G99">
        <v>2023</v>
      </c>
    </row>
    <row r="100" spans="1:7" x14ac:dyDescent="0.35">
      <c r="A100" t="s">
        <v>264</v>
      </c>
      <c r="B100" t="s">
        <v>64</v>
      </c>
      <c r="C100" t="s">
        <v>79</v>
      </c>
      <c r="D100" t="s">
        <v>66</v>
      </c>
      <c r="E100" t="s">
        <v>265</v>
      </c>
      <c r="F100">
        <v>1397.5</v>
      </c>
      <c r="G100">
        <v>2020</v>
      </c>
    </row>
    <row r="101" spans="1:7" x14ac:dyDescent="0.35">
      <c r="A101" t="s">
        <v>266</v>
      </c>
      <c r="B101" t="s">
        <v>59</v>
      </c>
      <c r="C101" t="s">
        <v>79</v>
      </c>
      <c r="D101" t="s">
        <v>61</v>
      </c>
      <c r="E101" t="s">
        <v>267</v>
      </c>
      <c r="F101">
        <v>1168.92</v>
      </c>
      <c r="G101">
        <v>2015</v>
      </c>
    </row>
    <row r="102" spans="1:7" x14ac:dyDescent="0.35">
      <c r="A102" t="s">
        <v>268</v>
      </c>
      <c r="B102" t="s">
        <v>59</v>
      </c>
      <c r="C102" t="s">
        <v>60</v>
      </c>
      <c r="D102" t="s">
        <v>84</v>
      </c>
      <c r="E102" t="s">
        <v>269</v>
      </c>
      <c r="F102">
        <v>1752.98</v>
      </c>
      <c r="G102">
        <v>2017</v>
      </c>
    </row>
    <row r="103" spans="1:7" x14ac:dyDescent="0.35">
      <c r="A103" t="s">
        <v>270</v>
      </c>
      <c r="B103" t="s">
        <v>64</v>
      </c>
      <c r="C103" t="s">
        <v>60</v>
      </c>
      <c r="D103" t="s">
        <v>84</v>
      </c>
      <c r="E103" t="s">
        <v>271</v>
      </c>
      <c r="F103">
        <v>527.04</v>
      </c>
      <c r="G103">
        <v>2019</v>
      </c>
    </row>
    <row r="104" spans="1:7" x14ac:dyDescent="0.35">
      <c r="A104" t="s">
        <v>272</v>
      </c>
      <c r="B104" t="s">
        <v>76</v>
      </c>
      <c r="C104" t="s">
        <v>79</v>
      </c>
      <c r="D104" t="s">
        <v>61</v>
      </c>
      <c r="E104" t="s">
        <v>273</v>
      </c>
      <c r="F104">
        <v>1277.74</v>
      </c>
      <c r="G104">
        <v>2015</v>
      </c>
    </row>
    <row r="105" spans="1:7" x14ac:dyDescent="0.35">
      <c r="A105" t="s">
        <v>274</v>
      </c>
      <c r="B105" t="s">
        <v>76</v>
      </c>
      <c r="C105" t="s">
        <v>73</v>
      </c>
      <c r="D105" t="s">
        <v>61</v>
      </c>
      <c r="E105" t="s">
        <v>275</v>
      </c>
      <c r="F105">
        <v>117.14</v>
      </c>
      <c r="G105">
        <v>2018</v>
      </c>
    </row>
    <row r="106" spans="1:7" x14ac:dyDescent="0.35">
      <c r="A106" t="s">
        <v>276</v>
      </c>
      <c r="B106" t="s">
        <v>76</v>
      </c>
      <c r="C106" t="s">
        <v>60</v>
      </c>
      <c r="D106" t="s">
        <v>61</v>
      </c>
      <c r="E106" t="s">
        <v>277</v>
      </c>
      <c r="F106">
        <v>1056.5899999999999</v>
      </c>
      <c r="G106">
        <v>2019</v>
      </c>
    </row>
    <row r="107" spans="1:7" x14ac:dyDescent="0.35">
      <c r="A107" t="s">
        <v>278</v>
      </c>
      <c r="B107" t="s">
        <v>59</v>
      </c>
      <c r="C107" t="s">
        <v>60</v>
      </c>
      <c r="D107" t="s">
        <v>61</v>
      </c>
      <c r="E107" t="s">
        <v>279</v>
      </c>
      <c r="F107">
        <v>1733.29</v>
      </c>
      <c r="G107">
        <v>2015</v>
      </c>
    </row>
    <row r="108" spans="1:7" x14ac:dyDescent="0.35">
      <c r="A108" t="s">
        <v>280</v>
      </c>
      <c r="B108" t="s">
        <v>76</v>
      </c>
      <c r="C108" t="s">
        <v>65</v>
      </c>
      <c r="D108" t="s">
        <v>66</v>
      </c>
      <c r="E108" t="s">
        <v>281</v>
      </c>
      <c r="F108">
        <v>1969.05</v>
      </c>
      <c r="G108">
        <v>2017</v>
      </c>
    </row>
    <row r="109" spans="1:7" x14ac:dyDescent="0.35">
      <c r="A109" t="s">
        <v>282</v>
      </c>
      <c r="B109" t="s">
        <v>76</v>
      </c>
      <c r="C109" t="s">
        <v>65</v>
      </c>
      <c r="D109" t="s">
        <v>84</v>
      </c>
      <c r="E109" t="s">
        <v>283</v>
      </c>
      <c r="F109">
        <v>69.25</v>
      </c>
      <c r="G109">
        <v>2019</v>
      </c>
    </row>
    <row r="110" spans="1:7" x14ac:dyDescent="0.35">
      <c r="A110" t="s">
        <v>284</v>
      </c>
      <c r="B110" t="s">
        <v>59</v>
      </c>
      <c r="C110" t="s">
        <v>60</v>
      </c>
      <c r="D110" t="s">
        <v>66</v>
      </c>
      <c r="E110" t="s">
        <v>285</v>
      </c>
      <c r="F110">
        <v>543.04</v>
      </c>
      <c r="G110">
        <v>2016</v>
      </c>
    </row>
    <row r="111" spans="1:7" x14ac:dyDescent="0.35">
      <c r="A111" t="s">
        <v>286</v>
      </c>
      <c r="B111" t="s">
        <v>59</v>
      </c>
      <c r="C111" t="s">
        <v>73</v>
      </c>
      <c r="D111" t="s">
        <v>84</v>
      </c>
      <c r="E111" t="s">
        <v>287</v>
      </c>
      <c r="F111">
        <v>486.51</v>
      </c>
      <c r="G111">
        <v>2021</v>
      </c>
    </row>
    <row r="112" spans="1:7" x14ac:dyDescent="0.35">
      <c r="A112" t="s">
        <v>288</v>
      </c>
      <c r="B112" t="s">
        <v>59</v>
      </c>
      <c r="C112" t="s">
        <v>65</v>
      </c>
      <c r="D112" t="s">
        <v>61</v>
      </c>
      <c r="E112" t="s">
        <v>289</v>
      </c>
      <c r="F112">
        <v>142.69999999999999</v>
      </c>
      <c r="G112">
        <v>2015</v>
      </c>
    </row>
    <row r="113" spans="1:7" x14ac:dyDescent="0.35">
      <c r="A113" t="s">
        <v>290</v>
      </c>
      <c r="B113" t="s">
        <v>59</v>
      </c>
      <c r="C113" t="s">
        <v>65</v>
      </c>
      <c r="D113" t="s">
        <v>84</v>
      </c>
      <c r="E113" t="s">
        <v>291</v>
      </c>
      <c r="F113">
        <v>69.84</v>
      </c>
      <c r="G113">
        <v>2023</v>
      </c>
    </row>
    <row r="114" spans="1:7" x14ac:dyDescent="0.35">
      <c r="A114" t="s">
        <v>292</v>
      </c>
      <c r="B114" t="s">
        <v>64</v>
      </c>
      <c r="C114" t="s">
        <v>65</v>
      </c>
      <c r="D114" t="s">
        <v>61</v>
      </c>
      <c r="E114" t="s">
        <v>293</v>
      </c>
      <c r="F114">
        <v>1005.88</v>
      </c>
      <c r="G114">
        <v>2022</v>
      </c>
    </row>
    <row r="115" spans="1:7" x14ac:dyDescent="0.35">
      <c r="A115" t="s">
        <v>294</v>
      </c>
      <c r="B115" t="s">
        <v>59</v>
      </c>
      <c r="C115" t="s">
        <v>60</v>
      </c>
      <c r="D115" t="s">
        <v>61</v>
      </c>
      <c r="E115" t="s">
        <v>295</v>
      </c>
      <c r="F115">
        <v>138.69</v>
      </c>
      <c r="G115">
        <v>2015</v>
      </c>
    </row>
    <row r="116" spans="1:7" x14ac:dyDescent="0.35">
      <c r="A116" t="s">
        <v>296</v>
      </c>
      <c r="B116" t="s">
        <v>64</v>
      </c>
      <c r="C116" t="s">
        <v>73</v>
      </c>
      <c r="D116" t="s">
        <v>61</v>
      </c>
      <c r="E116" t="s">
        <v>297</v>
      </c>
      <c r="F116">
        <v>592.74</v>
      </c>
      <c r="G116">
        <v>2016</v>
      </c>
    </row>
    <row r="117" spans="1:7" x14ac:dyDescent="0.35">
      <c r="A117" t="s">
        <v>298</v>
      </c>
      <c r="B117" t="s">
        <v>76</v>
      </c>
      <c r="C117" t="s">
        <v>79</v>
      </c>
      <c r="D117" t="s">
        <v>84</v>
      </c>
      <c r="E117" t="s">
        <v>299</v>
      </c>
      <c r="F117">
        <v>1297.95</v>
      </c>
      <c r="G117">
        <v>2018</v>
      </c>
    </row>
    <row r="118" spans="1:7" x14ac:dyDescent="0.35">
      <c r="A118" t="s">
        <v>300</v>
      </c>
      <c r="B118" t="s">
        <v>59</v>
      </c>
      <c r="C118" t="s">
        <v>73</v>
      </c>
      <c r="D118" t="s">
        <v>61</v>
      </c>
      <c r="E118" t="s">
        <v>301</v>
      </c>
      <c r="F118">
        <v>624.65</v>
      </c>
      <c r="G118">
        <v>2022</v>
      </c>
    </row>
    <row r="119" spans="1:7" x14ac:dyDescent="0.35">
      <c r="A119" t="s">
        <v>302</v>
      </c>
      <c r="B119" t="s">
        <v>76</v>
      </c>
      <c r="C119" t="s">
        <v>73</v>
      </c>
      <c r="D119" t="s">
        <v>84</v>
      </c>
      <c r="E119" t="s">
        <v>303</v>
      </c>
      <c r="F119">
        <v>575.83000000000004</v>
      </c>
      <c r="G119">
        <v>2016</v>
      </c>
    </row>
    <row r="120" spans="1:7" x14ac:dyDescent="0.35">
      <c r="A120" t="s">
        <v>304</v>
      </c>
      <c r="B120" t="s">
        <v>76</v>
      </c>
      <c r="C120" t="s">
        <v>65</v>
      </c>
      <c r="D120" t="s">
        <v>66</v>
      </c>
      <c r="E120" t="s">
        <v>305</v>
      </c>
      <c r="F120">
        <v>1201.57</v>
      </c>
      <c r="G120">
        <v>2018</v>
      </c>
    </row>
    <row r="121" spans="1:7" x14ac:dyDescent="0.35">
      <c r="A121" t="s">
        <v>306</v>
      </c>
      <c r="B121" t="s">
        <v>59</v>
      </c>
      <c r="C121" t="s">
        <v>73</v>
      </c>
      <c r="D121" t="s">
        <v>61</v>
      </c>
      <c r="E121" t="s">
        <v>307</v>
      </c>
      <c r="F121">
        <v>792.04</v>
      </c>
      <c r="G121">
        <v>2016</v>
      </c>
    </row>
    <row r="122" spans="1:7" x14ac:dyDescent="0.35">
      <c r="A122" t="s">
        <v>308</v>
      </c>
      <c r="B122" t="s">
        <v>76</v>
      </c>
      <c r="C122" t="s">
        <v>60</v>
      </c>
      <c r="D122" t="s">
        <v>66</v>
      </c>
      <c r="E122" t="s">
        <v>309</v>
      </c>
      <c r="F122">
        <v>1419.92</v>
      </c>
      <c r="G122">
        <v>2016</v>
      </c>
    </row>
    <row r="123" spans="1:7" x14ac:dyDescent="0.35">
      <c r="A123" t="s">
        <v>310</v>
      </c>
      <c r="B123" t="s">
        <v>64</v>
      </c>
      <c r="C123" t="s">
        <v>60</v>
      </c>
      <c r="D123" t="s">
        <v>66</v>
      </c>
      <c r="E123" t="s">
        <v>311</v>
      </c>
      <c r="F123">
        <v>1017.44</v>
      </c>
      <c r="G123">
        <v>2021</v>
      </c>
    </row>
    <row r="124" spans="1:7" x14ac:dyDescent="0.35">
      <c r="A124" t="s">
        <v>312</v>
      </c>
      <c r="B124" t="s">
        <v>64</v>
      </c>
      <c r="C124" t="s">
        <v>60</v>
      </c>
      <c r="D124" t="s">
        <v>61</v>
      </c>
      <c r="E124" t="s">
        <v>313</v>
      </c>
      <c r="F124">
        <v>1284.76</v>
      </c>
      <c r="G124">
        <v>2022</v>
      </c>
    </row>
    <row r="125" spans="1:7" x14ac:dyDescent="0.35">
      <c r="A125" t="s">
        <v>314</v>
      </c>
      <c r="B125" t="s">
        <v>76</v>
      </c>
      <c r="C125" t="s">
        <v>73</v>
      </c>
      <c r="D125" t="s">
        <v>61</v>
      </c>
      <c r="E125" t="s">
        <v>315</v>
      </c>
      <c r="F125">
        <v>739.12</v>
      </c>
      <c r="G125">
        <v>2023</v>
      </c>
    </row>
    <row r="126" spans="1:7" x14ac:dyDescent="0.35">
      <c r="A126" t="s">
        <v>316</v>
      </c>
      <c r="B126" t="s">
        <v>76</v>
      </c>
      <c r="C126" t="s">
        <v>79</v>
      </c>
      <c r="D126" t="s">
        <v>61</v>
      </c>
      <c r="E126" t="s">
        <v>317</v>
      </c>
      <c r="F126">
        <v>609.74</v>
      </c>
      <c r="G126">
        <v>2016</v>
      </c>
    </row>
    <row r="127" spans="1:7" x14ac:dyDescent="0.35">
      <c r="A127" t="s">
        <v>318</v>
      </c>
      <c r="B127" t="s">
        <v>76</v>
      </c>
      <c r="C127" t="s">
        <v>73</v>
      </c>
      <c r="D127" t="s">
        <v>84</v>
      </c>
      <c r="E127" t="s">
        <v>319</v>
      </c>
      <c r="F127">
        <v>309.75</v>
      </c>
      <c r="G127">
        <v>2016</v>
      </c>
    </row>
    <row r="128" spans="1:7" x14ac:dyDescent="0.35">
      <c r="A128" t="s">
        <v>320</v>
      </c>
      <c r="B128" t="s">
        <v>64</v>
      </c>
      <c r="C128" t="s">
        <v>79</v>
      </c>
      <c r="D128" t="s">
        <v>66</v>
      </c>
      <c r="E128" t="s">
        <v>321</v>
      </c>
      <c r="F128">
        <v>1877.31</v>
      </c>
      <c r="G128">
        <v>2023</v>
      </c>
    </row>
    <row r="129" spans="1:7" x14ac:dyDescent="0.35">
      <c r="A129" t="s">
        <v>322</v>
      </c>
      <c r="B129" t="s">
        <v>64</v>
      </c>
      <c r="C129" t="s">
        <v>60</v>
      </c>
      <c r="D129" t="s">
        <v>61</v>
      </c>
      <c r="E129" t="s">
        <v>323</v>
      </c>
      <c r="F129">
        <v>1619.43</v>
      </c>
      <c r="G129">
        <v>2017</v>
      </c>
    </row>
    <row r="130" spans="1:7" x14ac:dyDescent="0.35">
      <c r="A130" t="s">
        <v>324</v>
      </c>
      <c r="B130" t="s">
        <v>76</v>
      </c>
      <c r="C130" t="s">
        <v>79</v>
      </c>
      <c r="D130" t="s">
        <v>84</v>
      </c>
      <c r="E130" t="s">
        <v>325</v>
      </c>
      <c r="F130">
        <v>1879.16</v>
      </c>
      <c r="G130">
        <v>2015</v>
      </c>
    </row>
    <row r="131" spans="1:7" x14ac:dyDescent="0.35">
      <c r="A131" t="s">
        <v>326</v>
      </c>
      <c r="B131" t="s">
        <v>76</v>
      </c>
      <c r="C131" t="s">
        <v>60</v>
      </c>
      <c r="D131" t="s">
        <v>61</v>
      </c>
      <c r="E131" t="s">
        <v>327</v>
      </c>
      <c r="F131">
        <v>411.49</v>
      </c>
      <c r="G131">
        <v>2017</v>
      </c>
    </row>
    <row r="132" spans="1:7" x14ac:dyDescent="0.35">
      <c r="A132" t="s">
        <v>328</v>
      </c>
      <c r="B132" t="s">
        <v>76</v>
      </c>
      <c r="C132" t="s">
        <v>60</v>
      </c>
      <c r="D132" t="s">
        <v>61</v>
      </c>
      <c r="E132" t="s">
        <v>329</v>
      </c>
      <c r="F132">
        <v>1869.65</v>
      </c>
      <c r="G132">
        <v>2017</v>
      </c>
    </row>
    <row r="133" spans="1:7" x14ac:dyDescent="0.35">
      <c r="A133" t="s">
        <v>330</v>
      </c>
      <c r="B133" t="s">
        <v>59</v>
      </c>
      <c r="C133" t="s">
        <v>79</v>
      </c>
      <c r="D133" t="s">
        <v>66</v>
      </c>
      <c r="E133" t="s">
        <v>331</v>
      </c>
      <c r="F133">
        <v>1874.72</v>
      </c>
      <c r="G133">
        <v>2023</v>
      </c>
    </row>
    <row r="134" spans="1:7" x14ac:dyDescent="0.35">
      <c r="A134" t="s">
        <v>332</v>
      </c>
      <c r="B134" t="s">
        <v>76</v>
      </c>
      <c r="C134" t="s">
        <v>79</v>
      </c>
      <c r="D134" t="s">
        <v>84</v>
      </c>
      <c r="E134" t="s">
        <v>333</v>
      </c>
      <c r="F134">
        <v>602.91</v>
      </c>
      <c r="G134">
        <v>2021</v>
      </c>
    </row>
    <row r="135" spans="1:7" x14ac:dyDescent="0.35">
      <c r="A135" t="s">
        <v>334</v>
      </c>
      <c r="B135" t="s">
        <v>64</v>
      </c>
      <c r="C135" t="s">
        <v>73</v>
      </c>
      <c r="D135" t="s">
        <v>66</v>
      </c>
      <c r="E135" t="s">
        <v>335</v>
      </c>
      <c r="F135">
        <v>585.54</v>
      </c>
      <c r="G135">
        <v>2022</v>
      </c>
    </row>
    <row r="136" spans="1:7" x14ac:dyDescent="0.35">
      <c r="A136" t="s">
        <v>336</v>
      </c>
      <c r="B136" t="s">
        <v>64</v>
      </c>
      <c r="C136" t="s">
        <v>60</v>
      </c>
      <c r="D136" t="s">
        <v>84</v>
      </c>
      <c r="E136" t="s">
        <v>337</v>
      </c>
      <c r="F136">
        <v>1125.29</v>
      </c>
      <c r="G136">
        <v>2016</v>
      </c>
    </row>
    <row r="137" spans="1:7" x14ac:dyDescent="0.35">
      <c r="A137" t="s">
        <v>338</v>
      </c>
      <c r="B137" t="s">
        <v>64</v>
      </c>
      <c r="C137" t="s">
        <v>79</v>
      </c>
      <c r="D137" t="s">
        <v>66</v>
      </c>
      <c r="E137" t="s">
        <v>339</v>
      </c>
      <c r="F137">
        <v>411.31</v>
      </c>
      <c r="G137">
        <v>2023</v>
      </c>
    </row>
    <row r="138" spans="1:7" x14ac:dyDescent="0.35">
      <c r="A138" t="s">
        <v>340</v>
      </c>
      <c r="B138" t="s">
        <v>64</v>
      </c>
      <c r="C138" t="s">
        <v>60</v>
      </c>
      <c r="D138" t="s">
        <v>84</v>
      </c>
      <c r="E138" t="s">
        <v>341</v>
      </c>
      <c r="F138">
        <v>912.1</v>
      </c>
      <c r="G138">
        <v>2017</v>
      </c>
    </row>
    <row r="139" spans="1:7" x14ac:dyDescent="0.35">
      <c r="A139" t="s">
        <v>342</v>
      </c>
      <c r="B139" t="s">
        <v>59</v>
      </c>
      <c r="C139" t="s">
        <v>73</v>
      </c>
      <c r="D139" t="s">
        <v>84</v>
      </c>
      <c r="E139" t="s">
        <v>343</v>
      </c>
      <c r="F139">
        <v>411.37</v>
      </c>
      <c r="G139">
        <v>2017</v>
      </c>
    </row>
    <row r="140" spans="1:7" x14ac:dyDescent="0.35">
      <c r="A140" t="s">
        <v>344</v>
      </c>
      <c r="B140" t="s">
        <v>59</v>
      </c>
      <c r="C140" t="s">
        <v>79</v>
      </c>
      <c r="D140" t="s">
        <v>66</v>
      </c>
      <c r="E140" t="s">
        <v>345</v>
      </c>
      <c r="F140">
        <v>1897.38</v>
      </c>
      <c r="G140">
        <v>2018</v>
      </c>
    </row>
    <row r="141" spans="1:7" x14ac:dyDescent="0.35">
      <c r="A141" t="s">
        <v>346</v>
      </c>
      <c r="B141" t="s">
        <v>59</v>
      </c>
      <c r="C141" t="s">
        <v>65</v>
      </c>
      <c r="D141" t="s">
        <v>61</v>
      </c>
      <c r="E141" t="s">
        <v>347</v>
      </c>
      <c r="F141">
        <v>1012.96</v>
      </c>
      <c r="G141">
        <v>2020</v>
      </c>
    </row>
    <row r="142" spans="1:7" x14ac:dyDescent="0.35">
      <c r="A142" t="s">
        <v>348</v>
      </c>
      <c r="B142" t="s">
        <v>76</v>
      </c>
      <c r="C142" t="s">
        <v>60</v>
      </c>
      <c r="D142" t="s">
        <v>84</v>
      </c>
      <c r="E142" t="s">
        <v>349</v>
      </c>
      <c r="F142">
        <v>1929.64</v>
      </c>
      <c r="G142">
        <v>2017</v>
      </c>
    </row>
    <row r="143" spans="1:7" x14ac:dyDescent="0.35">
      <c r="A143" t="s">
        <v>350</v>
      </c>
      <c r="B143" t="s">
        <v>76</v>
      </c>
      <c r="C143" t="s">
        <v>60</v>
      </c>
      <c r="D143" t="s">
        <v>61</v>
      </c>
      <c r="E143" t="s">
        <v>351</v>
      </c>
      <c r="F143">
        <v>1307.6400000000001</v>
      </c>
      <c r="G143">
        <v>2017</v>
      </c>
    </row>
    <row r="144" spans="1:7" x14ac:dyDescent="0.35">
      <c r="A144" t="s">
        <v>352</v>
      </c>
      <c r="B144" t="s">
        <v>59</v>
      </c>
      <c r="C144" t="s">
        <v>60</v>
      </c>
      <c r="D144" t="s">
        <v>61</v>
      </c>
      <c r="E144" t="s">
        <v>353</v>
      </c>
      <c r="F144">
        <v>994.42</v>
      </c>
      <c r="G144">
        <v>2018</v>
      </c>
    </row>
    <row r="145" spans="1:7" x14ac:dyDescent="0.35">
      <c r="A145" t="s">
        <v>354</v>
      </c>
      <c r="B145" t="s">
        <v>64</v>
      </c>
      <c r="C145" t="s">
        <v>79</v>
      </c>
      <c r="D145" t="s">
        <v>61</v>
      </c>
      <c r="E145" t="s">
        <v>355</v>
      </c>
      <c r="F145">
        <v>1937.01</v>
      </c>
      <c r="G145">
        <v>2023</v>
      </c>
    </row>
    <row r="146" spans="1:7" x14ac:dyDescent="0.35">
      <c r="A146" t="s">
        <v>356</v>
      </c>
      <c r="B146" t="s">
        <v>76</v>
      </c>
      <c r="C146" t="s">
        <v>73</v>
      </c>
      <c r="D146" t="s">
        <v>84</v>
      </c>
      <c r="E146" t="s">
        <v>357</v>
      </c>
      <c r="F146">
        <v>329.22</v>
      </c>
      <c r="G146">
        <v>2022</v>
      </c>
    </row>
    <row r="147" spans="1:7" x14ac:dyDescent="0.35">
      <c r="A147" t="s">
        <v>358</v>
      </c>
      <c r="B147" t="s">
        <v>59</v>
      </c>
      <c r="C147" t="s">
        <v>65</v>
      </c>
      <c r="D147" t="s">
        <v>84</v>
      </c>
      <c r="E147" t="s">
        <v>359</v>
      </c>
      <c r="F147">
        <v>1283.04</v>
      </c>
      <c r="G147">
        <v>2019</v>
      </c>
    </row>
    <row r="148" spans="1:7" x14ac:dyDescent="0.35">
      <c r="A148" t="s">
        <v>360</v>
      </c>
      <c r="B148" t="s">
        <v>76</v>
      </c>
      <c r="C148" t="s">
        <v>60</v>
      </c>
      <c r="D148" t="s">
        <v>61</v>
      </c>
      <c r="E148" t="s">
        <v>361</v>
      </c>
      <c r="F148">
        <v>1340.68</v>
      </c>
      <c r="G148">
        <v>2016</v>
      </c>
    </row>
    <row r="149" spans="1:7" x14ac:dyDescent="0.35">
      <c r="A149" t="s">
        <v>362</v>
      </c>
      <c r="B149" t="s">
        <v>64</v>
      </c>
      <c r="C149" t="s">
        <v>65</v>
      </c>
      <c r="D149" t="s">
        <v>66</v>
      </c>
      <c r="E149" t="s">
        <v>363</v>
      </c>
      <c r="F149">
        <v>895.99</v>
      </c>
      <c r="G149">
        <v>2020</v>
      </c>
    </row>
    <row r="150" spans="1:7" x14ac:dyDescent="0.35">
      <c r="A150" t="s">
        <v>364</v>
      </c>
      <c r="B150" t="s">
        <v>59</v>
      </c>
      <c r="C150" t="s">
        <v>73</v>
      </c>
      <c r="D150" t="s">
        <v>84</v>
      </c>
      <c r="E150" t="s">
        <v>365</v>
      </c>
      <c r="F150">
        <v>165.75</v>
      </c>
      <c r="G150">
        <v>2016</v>
      </c>
    </row>
    <row r="151" spans="1:7" x14ac:dyDescent="0.35">
      <c r="A151" t="s">
        <v>366</v>
      </c>
      <c r="B151" t="s">
        <v>76</v>
      </c>
      <c r="C151" t="s">
        <v>60</v>
      </c>
      <c r="D151" t="s">
        <v>66</v>
      </c>
      <c r="E151" t="s">
        <v>367</v>
      </c>
      <c r="F151">
        <v>1010.81</v>
      </c>
      <c r="G151">
        <v>2022</v>
      </c>
    </row>
    <row r="152" spans="1:7" x14ac:dyDescent="0.35">
      <c r="A152" t="s">
        <v>368</v>
      </c>
      <c r="B152" t="s">
        <v>59</v>
      </c>
      <c r="C152" t="s">
        <v>79</v>
      </c>
      <c r="D152" t="s">
        <v>61</v>
      </c>
      <c r="E152" t="s">
        <v>369</v>
      </c>
      <c r="F152">
        <v>957.01</v>
      </c>
      <c r="G152">
        <v>2016</v>
      </c>
    </row>
    <row r="153" spans="1:7" x14ac:dyDescent="0.35">
      <c r="A153" t="s">
        <v>370</v>
      </c>
      <c r="B153" t="s">
        <v>59</v>
      </c>
      <c r="C153" t="s">
        <v>65</v>
      </c>
      <c r="D153" t="s">
        <v>84</v>
      </c>
      <c r="E153" t="s">
        <v>371</v>
      </c>
      <c r="F153">
        <v>1623.16</v>
      </c>
      <c r="G153">
        <v>2015</v>
      </c>
    </row>
    <row r="154" spans="1:7" x14ac:dyDescent="0.35">
      <c r="A154" t="s">
        <v>372</v>
      </c>
      <c r="B154" t="s">
        <v>59</v>
      </c>
      <c r="C154" t="s">
        <v>60</v>
      </c>
      <c r="D154" t="s">
        <v>66</v>
      </c>
      <c r="E154" t="s">
        <v>373</v>
      </c>
      <c r="F154">
        <v>550.49</v>
      </c>
      <c r="G154">
        <v>2021</v>
      </c>
    </row>
    <row r="155" spans="1:7" x14ac:dyDescent="0.35">
      <c r="A155" t="s">
        <v>374</v>
      </c>
      <c r="B155" t="s">
        <v>64</v>
      </c>
      <c r="C155" t="s">
        <v>73</v>
      </c>
      <c r="D155" t="s">
        <v>66</v>
      </c>
      <c r="E155" t="s">
        <v>375</v>
      </c>
      <c r="F155">
        <v>813.29</v>
      </c>
      <c r="G155">
        <v>2022</v>
      </c>
    </row>
    <row r="156" spans="1:7" x14ac:dyDescent="0.35">
      <c r="A156" t="s">
        <v>376</v>
      </c>
      <c r="B156" t="s">
        <v>76</v>
      </c>
      <c r="C156" t="s">
        <v>60</v>
      </c>
      <c r="D156" t="s">
        <v>61</v>
      </c>
      <c r="E156" t="s">
        <v>377</v>
      </c>
      <c r="F156">
        <v>518.34</v>
      </c>
      <c r="G156">
        <v>2015</v>
      </c>
    </row>
    <row r="157" spans="1:7" x14ac:dyDescent="0.35">
      <c r="A157" t="s">
        <v>378</v>
      </c>
      <c r="B157" t="s">
        <v>76</v>
      </c>
      <c r="C157" t="s">
        <v>79</v>
      </c>
      <c r="D157" t="s">
        <v>84</v>
      </c>
      <c r="E157" t="s">
        <v>379</v>
      </c>
      <c r="F157">
        <v>1388.56</v>
      </c>
      <c r="G157">
        <v>2023</v>
      </c>
    </row>
    <row r="158" spans="1:7" x14ac:dyDescent="0.35">
      <c r="A158" t="s">
        <v>380</v>
      </c>
      <c r="B158" t="s">
        <v>59</v>
      </c>
      <c r="C158" t="s">
        <v>60</v>
      </c>
      <c r="D158" t="s">
        <v>66</v>
      </c>
      <c r="E158" t="s">
        <v>381</v>
      </c>
      <c r="F158">
        <v>1980.27</v>
      </c>
      <c r="G158">
        <v>2023</v>
      </c>
    </row>
    <row r="159" spans="1:7" x14ac:dyDescent="0.35">
      <c r="A159" t="s">
        <v>382</v>
      </c>
      <c r="B159" t="s">
        <v>59</v>
      </c>
      <c r="C159" t="s">
        <v>65</v>
      </c>
      <c r="D159" t="s">
        <v>61</v>
      </c>
      <c r="E159" t="s">
        <v>383</v>
      </c>
      <c r="F159">
        <v>395.99</v>
      </c>
      <c r="G159">
        <v>2020</v>
      </c>
    </row>
    <row r="160" spans="1:7" x14ac:dyDescent="0.35">
      <c r="A160" t="s">
        <v>384</v>
      </c>
      <c r="B160" t="s">
        <v>59</v>
      </c>
      <c r="C160" t="s">
        <v>73</v>
      </c>
      <c r="D160" t="s">
        <v>66</v>
      </c>
      <c r="E160" t="s">
        <v>385</v>
      </c>
      <c r="F160">
        <v>1651.82</v>
      </c>
      <c r="G160">
        <v>2021</v>
      </c>
    </row>
    <row r="161" spans="1:7" x14ac:dyDescent="0.35">
      <c r="A161" t="s">
        <v>386</v>
      </c>
      <c r="B161" t="s">
        <v>76</v>
      </c>
      <c r="C161" t="s">
        <v>79</v>
      </c>
      <c r="D161" t="s">
        <v>84</v>
      </c>
      <c r="E161" t="s">
        <v>387</v>
      </c>
      <c r="F161">
        <v>500.43</v>
      </c>
      <c r="G161">
        <v>2015</v>
      </c>
    </row>
    <row r="162" spans="1:7" x14ac:dyDescent="0.35">
      <c r="A162" t="s">
        <v>388</v>
      </c>
      <c r="B162" t="s">
        <v>59</v>
      </c>
      <c r="C162" t="s">
        <v>60</v>
      </c>
      <c r="D162" t="s">
        <v>66</v>
      </c>
      <c r="E162" t="s">
        <v>389</v>
      </c>
      <c r="F162">
        <v>163.05000000000001</v>
      </c>
      <c r="G162">
        <v>2018</v>
      </c>
    </row>
    <row r="163" spans="1:7" x14ac:dyDescent="0.35">
      <c r="A163" t="s">
        <v>390</v>
      </c>
      <c r="B163" t="s">
        <v>64</v>
      </c>
      <c r="C163" t="s">
        <v>79</v>
      </c>
      <c r="D163" t="s">
        <v>61</v>
      </c>
      <c r="E163" t="s">
        <v>391</v>
      </c>
      <c r="F163">
        <v>320.69</v>
      </c>
      <c r="G163">
        <v>2021</v>
      </c>
    </row>
    <row r="164" spans="1:7" x14ac:dyDescent="0.35">
      <c r="A164" t="s">
        <v>392</v>
      </c>
      <c r="B164" t="s">
        <v>76</v>
      </c>
      <c r="C164" t="s">
        <v>79</v>
      </c>
      <c r="D164" t="s">
        <v>66</v>
      </c>
      <c r="E164" t="s">
        <v>393</v>
      </c>
      <c r="F164">
        <v>1873.55</v>
      </c>
      <c r="G164">
        <v>2019</v>
      </c>
    </row>
    <row r="165" spans="1:7" x14ac:dyDescent="0.35">
      <c r="A165" t="s">
        <v>394</v>
      </c>
      <c r="B165" t="s">
        <v>59</v>
      </c>
      <c r="C165" t="s">
        <v>60</v>
      </c>
      <c r="D165" t="s">
        <v>66</v>
      </c>
      <c r="E165" t="s">
        <v>395</v>
      </c>
      <c r="F165">
        <v>1782.66</v>
      </c>
      <c r="G165">
        <v>2018</v>
      </c>
    </row>
    <row r="166" spans="1:7" x14ac:dyDescent="0.35">
      <c r="A166" t="s">
        <v>396</v>
      </c>
      <c r="B166" t="s">
        <v>59</v>
      </c>
      <c r="C166" t="s">
        <v>60</v>
      </c>
      <c r="D166" t="s">
        <v>61</v>
      </c>
      <c r="E166" t="s">
        <v>397</v>
      </c>
      <c r="F166">
        <v>614.05999999999995</v>
      </c>
      <c r="G166">
        <v>2020</v>
      </c>
    </row>
    <row r="167" spans="1:7" x14ac:dyDescent="0.35">
      <c r="A167" t="s">
        <v>398</v>
      </c>
      <c r="B167" t="s">
        <v>59</v>
      </c>
      <c r="C167" t="s">
        <v>60</v>
      </c>
      <c r="D167" t="s">
        <v>84</v>
      </c>
      <c r="E167" t="s">
        <v>399</v>
      </c>
      <c r="F167">
        <v>1898.14</v>
      </c>
      <c r="G167">
        <v>2020</v>
      </c>
    </row>
    <row r="168" spans="1:7" x14ac:dyDescent="0.35">
      <c r="A168" t="s">
        <v>400</v>
      </c>
      <c r="B168" t="s">
        <v>76</v>
      </c>
      <c r="C168" t="s">
        <v>60</v>
      </c>
      <c r="D168" t="s">
        <v>84</v>
      </c>
      <c r="E168" t="s">
        <v>401</v>
      </c>
      <c r="F168">
        <v>1707.36</v>
      </c>
      <c r="G168">
        <v>2019</v>
      </c>
    </row>
    <row r="169" spans="1:7" x14ac:dyDescent="0.35">
      <c r="A169" t="s">
        <v>402</v>
      </c>
      <c r="B169" t="s">
        <v>64</v>
      </c>
      <c r="C169" t="s">
        <v>79</v>
      </c>
      <c r="D169" t="s">
        <v>61</v>
      </c>
      <c r="E169" t="s">
        <v>403</v>
      </c>
      <c r="F169">
        <v>897.58</v>
      </c>
      <c r="G169">
        <v>2017</v>
      </c>
    </row>
    <row r="170" spans="1:7" x14ac:dyDescent="0.35">
      <c r="A170" t="s">
        <v>404</v>
      </c>
      <c r="B170" t="s">
        <v>64</v>
      </c>
      <c r="C170" t="s">
        <v>65</v>
      </c>
      <c r="D170" t="s">
        <v>61</v>
      </c>
      <c r="E170" t="s">
        <v>405</v>
      </c>
      <c r="F170">
        <v>962.7</v>
      </c>
      <c r="G170">
        <v>2022</v>
      </c>
    </row>
    <row r="171" spans="1:7" x14ac:dyDescent="0.35">
      <c r="A171" t="s">
        <v>406</v>
      </c>
      <c r="B171" t="s">
        <v>64</v>
      </c>
      <c r="C171" t="s">
        <v>79</v>
      </c>
      <c r="D171" t="s">
        <v>61</v>
      </c>
      <c r="E171" t="s">
        <v>407</v>
      </c>
      <c r="F171">
        <v>1278.21</v>
      </c>
      <c r="G171">
        <v>2016</v>
      </c>
    </row>
    <row r="172" spans="1:7" x14ac:dyDescent="0.35">
      <c r="A172" t="s">
        <v>408</v>
      </c>
      <c r="B172" t="s">
        <v>59</v>
      </c>
      <c r="C172" t="s">
        <v>65</v>
      </c>
      <c r="D172" t="s">
        <v>61</v>
      </c>
      <c r="E172" t="s">
        <v>409</v>
      </c>
      <c r="F172">
        <v>358.16</v>
      </c>
      <c r="G172">
        <v>2023</v>
      </c>
    </row>
    <row r="173" spans="1:7" x14ac:dyDescent="0.35">
      <c r="A173" t="s">
        <v>410</v>
      </c>
      <c r="B173" t="s">
        <v>59</v>
      </c>
      <c r="C173" t="s">
        <v>73</v>
      </c>
      <c r="D173" t="s">
        <v>66</v>
      </c>
      <c r="E173" t="s">
        <v>411</v>
      </c>
      <c r="F173">
        <v>78.83</v>
      </c>
      <c r="G173">
        <v>2020</v>
      </c>
    </row>
    <row r="174" spans="1:7" x14ac:dyDescent="0.35">
      <c r="A174" t="s">
        <v>412</v>
      </c>
      <c r="B174" t="s">
        <v>59</v>
      </c>
      <c r="C174" t="s">
        <v>65</v>
      </c>
      <c r="D174" t="s">
        <v>84</v>
      </c>
      <c r="E174" t="s">
        <v>413</v>
      </c>
      <c r="F174">
        <v>567.75</v>
      </c>
      <c r="G174">
        <v>2020</v>
      </c>
    </row>
    <row r="175" spans="1:7" x14ac:dyDescent="0.35">
      <c r="A175" t="s">
        <v>414</v>
      </c>
      <c r="B175" t="s">
        <v>59</v>
      </c>
      <c r="C175" t="s">
        <v>65</v>
      </c>
      <c r="D175" t="s">
        <v>84</v>
      </c>
      <c r="E175" t="s">
        <v>415</v>
      </c>
      <c r="F175">
        <v>80.12</v>
      </c>
      <c r="G175">
        <v>2022</v>
      </c>
    </row>
    <row r="176" spans="1:7" x14ac:dyDescent="0.35">
      <c r="A176" t="s">
        <v>416</v>
      </c>
      <c r="B176" t="s">
        <v>64</v>
      </c>
      <c r="C176" t="s">
        <v>73</v>
      </c>
      <c r="D176" t="s">
        <v>84</v>
      </c>
      <c r="E176" t="s">
        <v>417</v>
      </c>
      <c r="F176">
        <v>1365.27</v>
      </c>
      <c r="G176">
        <v>2023</v>
      </c>
    </row>
    <row r="177" spans="1:7" x14ac:dyDescent="0.35">
      <c r="A177" t="s">
        <v>418</v>
      </c>
      <c r="B177" t="s">
        <v>76</v>
      </c>
      <c r="C177" t="s">
        <v>60</v>
      </c>
      <c r="D177" t="s">
        <v>61</v>
      </c>
      <c r="E177" t="s">
        <v>419</v>
      </c>
      <c r="F177">
        <v>1125.3599999999999</v>
      </c>
      <c r="G177">
        <v>2023</v>
      </c>
    </row>
    <row r="178" spans="1:7" x14ac:dyDescent="0.35">
      <c r="A178" t="s">
        <v>420</v>
      </c>
      <c r="B178" t="s">
        <v>64</v>
      </c>
      <c r="C178" t="s">
        <v>65</v>
      </c>
      <c r="D178" t="s">
        <v>61</v>
      </c>
      <c r="E178" t="s">
        <v>421</v>
      </c>
      <c r="F178">
        <v>677.21</v>
      </c>
      <c r="G178">
        <v>2022</v>
      </c>
    </row>
    <row r="179" spans="1:7" x14ac:dyDescent="0.35">
      <c r="A179" t="s">
        <v>422</v>
      </c>
      <c r="B179" t="s">
        <v>64</v>
      </c>
      <c r="C179" t="s">
        <v>60</v>
      </c>
      <c r="D179" t="s">
        <v>61</v>
      </c>
      <c r="E179" t="s">
        <v>423</v>
      </c>
      <c r="F179">
        <v>1571.39</v>
      </c>
      <c r="G179">
        <v>2018</v>
      </c>
    </row>
    <row r="180" spans="1:7" x14ac:dyDescent="0.35">
      <c r="A180" t="s">
        <v>424</v>
      </c>
      <c r="B180" t="s">
        <v>76</v>
      </c>
      <c r="C180" t="s">
        <v>73</v>
      </c>
      <c r="D180" t="s">
        <v>66</v>
      </c>
      <c r="E180" t="s">
        <v>425</v>
      </c>
      <c r="F180">
        <v>334.28</v>
      </c>
      <c r="G180">
        <v>2015</v>
      </c>
    </row>
    <row r="181" spans="1:7" x14ac:dyDescent="0.35">
      <c r="A181" t="s">
        <v>426</v>
      </c>
      <c r="B181" t="s">
        <v>76</v>
      </c>
      <c r="C181" t="s">
        <v>65</v>
      </c>
      <c r="D181" t="s">
        <v>84</v>
      </c>
      <c r="E181" t="s">
        <v>427</v>
      </c>
      <c r="F181">
        <v>527.52</v>
      </c>
      <c r="G181">
        <v>2019</v>
      </c>
    </row>
    <row r="182" spans="1:7" x14ac:dyDescent="0.35">
      <c r="A182" t="s">
        <v>428</v>
      </c>
      <c r="B182" t="s">
        <v>76</v>
      </c>
      <c r="C182" t="s">
        <v>79</v>
      </c>
      <c r="D182" t="s">
        <v>61</v>
      </c>
      <c r="E182" t="s">
        <v>429</v>
      </c>
      <c r="F182">
        <v>620.01</v>
      </c>
      <c r="G182">
        <v>2023</v>
      </c>
    </row>
    <row r="183" spans="1:7" x14ac:dyDescent="0.35">
      <c r="A183" t="s">
        <v>430</v>
      </c>
      <c r="B183" t="s">
        <v>76</v>
      </c>
      <c r="C183" t="s">
        <v>65</v>
      </c>
      <c r="D183" t="s">
        <v>61</v>
      </c>
      <c r="E183" t="s">
        <v>431</v>
      </c>
      <c r="F183">
        <v>432.07</v>
      </c>
      <c r="G183">
        <v>2018</v>
      </c>
    </row>
    <row r="184" spans="1:7" x14ac:dyDescent="0.35">
      <c r="A184" t="s">
        <v>432</v>
      </c>
      <c r="B184" t="s">
        <v>64</v>
      </c>
      <c r="C184" t="s">
        <v>79</v>
      </c>
      <c r="D184" t="s">
        <v>84</v>
      </c>
      <c r="E184" t="s">
        <v>433</v>
      </c>
      <c r="F184">
        <v>221.48</v>
      </c>
      <c r="G184">
        <v>2023</v>
      </c>
    </row>
    <row r="185" spans="1:7" x14ac:dyDescent="0.35">
      <c r="A185" t="s">
        <v>434</v>
      </c>
      <c r="B185" t="s">
        <v>59</v>
      </c>
      <c r="C185" t="s">
        <v>60</v>
      </c>
      <c r="D185" t="s">
        <v>61</v>
      </c>
      <c r="E185" t="s">
        <v>435</v>
      </c>
      <c r="F185">
        <v>1746.45</v>
      </c>
      <c r="G185">
        <v>2017</v>
      </c>
    </row>
    <row r="186" spans="1:7" x14ac:dyDescent="0.35">
      <c r="A186" t="s">
        <v>436</v>
      </c>
      <c r="B186" t="s">
        <v>76</v>
      </c>
      <c r="C186" t="s">
        <v>73</v>
      </c>
      <c r="D186" t="s">
        <v>84</v>
      </c>
      <c r="E186" t="s">
        <v>437</v>
      </c>
      <c r="F186">
        <v>221.97</v>
      </c>
      <c r="G186">
        <v>2023</v>
      </c>
    </row>
    <row r="187" spans="1:7" x14ac:dyDescent="0.35">
      <c r="A187" t="s">
        <v>438</v>
      </c>
      <c r="B187" t="s">
        <v>64</v>
      </c>
      <c r="C187" t="s">
        <v>60</v>
      </c>
      <c r="D187" t="s">
        <v>66</v>
      </c>
      <c r="E187" t="s">
        <v>439</v>
      </c>
      <c r="F187">
        <v>1383.24</v>
      </c>
      <c r="G187">
        <v>2023</v>
      </c>
    </row>
    <row r="188" spans="1:7" x14ac:dyDescent="0.35">
      <c r="A188" t="s">
        <v>440</v>
      </c>
      <c r="B188" t="s">
        <v>76</v>
      </c>
      <c r="C188" t="s">
        <v>65</v>
      </c>
      <c r="D188" t="s">
        <v>66</v>
      </c>
      <c r="E188" t="s">
        <v>441</v>
      </c>
      <c r="F188">
        <v>284.77999999999997</v>
      </c>
      <c r="G188">
        <v>2020</v>
      </c>
    </row>
    <row r="189" spans="1:7" x14ac:dyDescent="0.35">
      <c r="A189" t="s">
        <v>442</v>
      </c>
      <c r="B189" t="s">
        <v>64</v>
      </c>
      <c r="C189" t="s">
        <v>73</v>
      </c>
      <c r="D189" t="s">
        <v>61</v>
      </c>
      <c r="E189" t="s">
        <v>443</v>
      </c>
      <c r="F189">
        <v>70.86</v>
      </c>
      <c r="G189">
        <v>2022</v>
      </c>
    </row>
    <row r="190" spans="1:7" x14ac:dyDescent="0.35">
      <c r="A190" t="s">
        <v>444</v>
      </c>
      <c r="B190" t="s">
        <v>64</v>
      </c>
      <c r="C190" t="s">
        <v>73</v>
      </c>
      <c r="D190" t="s">
        <v>84</v>
      </c>
      <c r="E190" t="s">
        <v>445</v>
      </c>
      <c r="F190">
        <v>1136.67</v>
      </c>
      <c r="G190">
        <v>2016</v>
      </c>
    </row>
    <row r="191" spans="1:7" x14ac:dyDescent="0.35">
      <c r="A191" t="s">
        <v>446</v>
      </c>
      <c r="B191" t="s">
        <v>59</v>
      </c>
      <c r="C191" t="s">
        <v>73</v>
      </c>
      <c r="D191" t="s">
        <v>66</v>
      </c>
      <c r="E191" t="s">
        <v>447</v>
      </c>
      <c r="F191">
        <v>1818.86</v>
      </c>
      <c r="G191">
        <v>2017</v>
      </c>
    </row>
    <row r="192" spans="1:7" x14ac:dyDescent="0.35">
      <c r="A192" t="s">
        <v>448</v>
      </c>
      <c r="B192" t="s">
        <v>64</v>
      </c>
      <c r="C192" t="s">
        <v>65</v>
      </c>
      <c r="D192" t="s">
        <v>84</v>
      </c>
      <c r="E192" t="s">
        <v>449</v>
      </c>
      <c r="F192">
        <v>1727.89</v>
      </c>
      <c r="G192">
        <v>2021</v>
      </c>
    </row>
    <row r="193" spans="1:7" x14ac:dyDescent="0.35">
      <c r="A193" t="s">
        <v>450</v>
      </c>
      <c r="B193" t="s">
        <v>64</v>
      </c>
      <c r="C193" t="s">
        <v>65</v>
      </c>
      <c r="D193" t="s">
        <v>61</v>
      </c>
      <c r="E193" t="s">
        <v>451</v>
      </c>
      <c r="F193">
        <v>709.98</v>
      </c>
      <c r="G193">
        <v>2023</v>
      </c>
    </row>
    <row r="194" spans="1:7" x14ac:dyDescent="0.35">
      <c r="A194" t="s">
        <v>452</v>
      </c>
      <c r="B194" t="s">
        <v>76</v>
      </c>
      <c r="C194" t="s">
        <v>73</v>
      </c>
      <c r="D194" t="s">
        <v>66</v>
      </c>
      <c r="E194" t="s">
        <v>453</v>
      </c>
      <c r="F194">
        <v>102.96</v>
      </c>
      <c r="G194">
        <v>2019</v>
      </c>
    </row>
    <row r="195" spans="1:7" x14ac:dyDescent="0.35">
      <c r="A195" t="s">
        <v>454</v>
      </c>
      <c r="B195" t="s">
        <v>76</v>
      </c>
      <c r="C195" t="s">
        <v>65</v>
      </c>
      <c r="D195" t="s">
        <v>61</v>
      </c>
      <c r="E195" t="s">
        <v>455</v>
      </c>
      <c r="F195">
        <v>1611.68</v>
      </c>
      <c r="G195">
        <v>2015</v>
      </c>
    </row>
    <row r="196" spans="1:7" x14ac:dyDescent="0.35">
      <c r="A196" t="s">
        <v>456</v>
      </c>
      <c r="B196" t="s">
        <v>59</v>
      </c>
      <c r="C196" t="s">
        <v>79</v>
      </c>
      <c r="D196" t="s">
        <v>66</v>
      </c>
      <c r="E196" t="s">
        <v>457</v>
      </c>
      <c r="F196">
        <v>1621.67</v>
      </c>
      <c r="G196">
        <v>2017</v>
      </c>
    </row>
    <row r="197" spans="1:7" x14ac:dyDescent="0.35">
      <c r="A197" t="s">
        <v>458</v>
      </c>
      <c r="B197" t="s">
        <v>59</v>
      </c>
      <c r="C197" t="s">
        <v>65</v>
      </c>
      <c r="D197" t="s">
        <v>61</v>
      </c>
      <c r="E197" t="s">
        <v>459</v>
      </c>
      <c r="F197">
        <v>1743.55</v>
      </c>
      <c r="G197">
        <v>2023</v>
      </c>
    </row>
    <row r="198" spans="1:7" x14ac:dyDescent="0.35">
      <c r="A198" t="s">
        <v>460</v>
      </c>
      <c r="B198" t="s">
        <v>59</v>
      </c>
      <c r="C198" t="s">
        <v>60</v>
      </c>
      <c r="D198" t="s">
        <v>66</v>
      </c>
      <c r="E198" t="s">
        <v>461</v>
      </c>
      <c r="F198">
        <v>1355.81</v>
      </c>
      <c r="G198">
        <v>2020</v>
      </c>
    </row>
    <row r="199" spans="1:7" x14ac:dyDescent="0.35">
      <c r="A199" t="s">
        <v>462</v>
      </c>
      <c r="B199" t="s">
        <v>64</v>
      </c>
      <c r="C199" t="s">
        <v>73</v>
      </c>
      <c r="D199" t="s">
        <v>84</v>
      </c>
      <c r="E199" t="s">
        <v>463</v>
      </c>
      <c r="F199">
        <v>1625.17</v>
      </c>
      <c r="G199">
        <v>2019</v>
      </c>
    </row>
    <row r="200" spans="1:7" x14ac:dyDescent="0.35">
      <c r="A200" t="s">
        <v>464</v>
      </c>
      <c r="B200" t="s">
        <v>59</v>
      </c>
      <c r="C200" t="s">
        <v>73</v>
      </c>
      <c r="D200" t="s">
        <v>61</v>
      </c>
      <c r="E200" t="s">
        <v>465</v>
      </c>
      <c r="F200">
        <v>1800.12</v>
      </c>
      <c r="G200">
        <v>2022</v>
      </c>
    </row>
    <row r="201" spans="1:7" x14ac:dyDescent="0.35">
      <c r="A201" t="s">
        <v>466</v>
      </c>
      <c r="B201" t="s">
        <v>64</v>
      </c>
      <c r="C201" t="s">
        <v>73</v>
      </c>
      <c r="D201" t="s">
        <v>84</v>
      </c>
      <c r="E201" t="s">
        <v>467</v>
      </c>
      <c r="F201">
        <v>934.97</v>
      </c>
      <c r="G201">
        <v>2021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59BF-7505-476A-BF97-4C574796C18D}">
  <dimension ref="A1:K14"/>
  <sheetViews>
    <sheetView workbookViewId="0">
      <selection activeCell="G13" sqref="G13"/>
    </sheetView>
  </sheetViews>
  <sheetFormatPr defaultRowHeight="14.5" x14ac:dyDescent="0.35"/>
  <cols>
    <col min="1" max="1" width="24.7265625" style="11" customWidth="1"/>
    <col min="2" max="2" width="11.81640625" style="12" customWidth="1"/>
    <col min="3" max="3" width="19.54296875" customWidth="1"/>
    <col min="4" max="4" width="13.453125" customWidth="1"/>
    <col min="5" max="5" width="13.453125" style="11" customWidth="1"/>
    <col min="6" max="6" width="13.453125" style="13" customWidth="1"/>
    <col min="7" max="7" width="14.6328125" style="11" customWidth="1"/>
    <col min="8" max="8" width="19.453125" style="11" customWidth="1"/>
    <col min="9" max="9" width="12.36328125" style="11" customWidth="1"/>
    <col min="10" max="10" width="6.26953125" style="11" customWidth="1"/>
    <col min="11" max="11" width="15.1796875" style="11" customWidth="1"/>
  </cols>
  <sheetData>
    <row r="1" spans="1:11" x14ac:dyDescent="0.35">
      <c r="A1" s="11" t="s">
        <v>468</v>
      </c>
      <c r="B1" s="12" t="s">
        <v>48</v>
      </c>
      <c r="C1" t="s">
        <v>469</v>
      </c>
      <c r="D1" t="s">
        <v>476</v>
      </c>
      <c r="E1" s="11" t="s">
        <v>481</v>
      </c>
      <c r="F1" s="13" t="s">
        <v>479</v>
      </c>
      <c r="G1" s="11" t="s">
        <v>470</v>
      </c>
      <c r="H1" s="11" t="s">
        <v>475</v>
      </c>
      <c r="I1" s="11" t="s">
        <v>480</v>
      </c>
      <c r="J1" s="11" t="s">
        <v>477</v>
      </c>
      <c r="K1" s="11" t="s">
        <v>478</v>
      </c>
    </row>
    <row r="2" spans="1:11" x14ac:dyDescent="0.35">
      <c r="I2" s="14"/>
    </row>
    <row r="3" spans="1:11" x14ac:dyDescent="0.35">
      <c r="I3" s="14"/>
    </row>
    <row r="4" spans="1:11" x14ac:dyDescent="0.35">
      <c r="A4" s="11" t="s">
        <v>471</v>
      </c>
      <c r="B4" s="12">
        <f ca="1">Sheet1[[#This Row],[Present Years]]-Sheet1[[#This Row],[YOB]]</f>
        <v>25</v>
      </c>
      <c r="C4">
        <v>87</v>
      </c>
      <c r="D4">
        <f>YEAR(Sheet1[[#This Row],[DOB]])</f>
        <v>2001</v>
      </c>
      <c r="E4" s="11" t="str">
        <f>TEXT(Sheet1[[#This Row],[DOB]],"dddd")</f>
        <v>Wednesday</v>
      </c>
      <c r="F4" s="13" t="str">
        <f>TEXT(Sheet1[[#This Row],[DOB]],"mmm")</f>
        <v>Dec</v>
      </c>
      <c r="G4" s="14">
        <v>37237</v>
      </c>
      <c r="H4" s="14">
        <f ca="1">TODAY()</f>
        <v>46317</v>
      </c>
      <c r="I4" s="14" t="str">
        <f ca="1">TEXT(Sheet1[[#This Row],[Present Age]],"dddd")</f>
        <v>Thursday</v>
      </c>
      <c r="J4" s="11">
        <f ca="1">YEAR(Sheet1[[#This Row],[Present Age]])</f>
        <v>2026</v>
      </c>
      <c r="K4" s="11" t="str">
        <f ca="1">TEXT(Sheet1[[#This Row],[Present Age]],"MMMM")</f>
        <v>October</v>
      </c>
    </row>
    <row r="5" spans="1:11" x14ac:dyDescent="0.35">
      <c r="A5" s="11" t="s">
        <v>472</v>
      </c>
      <c r="B5" s="12">
        <f ca="1">Sheet1[[#This Row],[Present Years]]-Sheet1[[#This Row],[YOB]]</f>
        <v>31</v>
      </c>
      <c r="C5">
        <v>76</v>
      </c>
      <c r="D5">
        <f>YEAR(Sheet1[[#This Row],[DOB]])</f>
        <v>1995</v>
      </c>
      <c r="E5" s="11" t="str">
        <f>TEXT(Sheet1[[#This Row],[DOB]],"dddd")</f>
        <v>Sunday</v>
      </c>
      <c r="F5" s="13" t="str">
        <f>TEXT(Sheet1[[#This Row],[DOB]],"mmm")</f>
        <v>Apr</v>
      </c>
      <c r="G5" s="14">
        <v>34798</v>
      </c>
      <c r="H5" s="14">
        <f ca="1">TODAY()</f>
        <v>46317</v>
      </c>
      <c r="I5" s="14" t="str">
        <f ca="1">TEXT(Sheet1[[#This Row],[Present Age]],"dddd")</f>
        <v>Thursday</v>
      </c>
      <c r="J5" s="11">
        <f ca="1">YEAR(Sheet1[[#This Row],[Present Age]])</f>
        <v>2026</v>
      </c>
      <c r="K5" s="11" t="str">
        <f ca="1">TEXT(Sheet1[[#This Row],[Present Age]],"MMMM")</f>
        <v>October</v>
      </c>
    </row>
    <row r="6" spans="1:11" x14ac:dyDescent="0.35">
      <c r="A6" s="11" t="s">
        <v>482</v>
      </c>
      <c r="B6" s="12">
        <f ca="1">Sheet1[[#This Row],[Present Years]]-Sheet1[[#This Row],[YOB]]</f>
        <v>19</v>
      </c>
      <c r="C6">
        <v>74</v>
      </c>
      <c r="D6">
        <f>YEAR(Sheet1[[#This Row],[DOB]])</f>
        <v>2007</v>
      </c>
      <c r="E6" s="11" t="str">
        <f>TEXT(Sheet1[[#This Row],[DOB]],"dddd")</f>
        <v>Monday</v>
      </c>
      <c r="F6" s="13" t="str">
        <f>TEXT(Sheet1[[#This Row],[DOB]],"mmm")</f>
        <v>Jul</v>
      </c>
      <c r="G6" s="14">
        <v>39286</v>
      </c>
      <c r="H6" s="14">
        <f ca="1">TODAY()</f>
        <v>46317</v>
      </c>
      <c r="I6" s="14" t="str">
        <f ca="1">TEXT(Sheet1[[#This Row],[Present Age]],"dddd")</f>
        <v>Thursday</v>
      </c>
      <c r="J6" s="11">
        <f ca="1">YEAR(Sheet1[[#This Row],[Present Age]])</f>
        <v>2026</v>
      </c>
      <c r="K6" s="11" t="str">
        <f ca="1">TEXT(Sheet1[[#This Row],[Present Age]],"MMMM")</f>
        <v>October</v>
      </c>
    </row>
    <row r="7" spans="1:11" x14ac:dyDescent="0.35">
      <c r="A7" s="11" t="s">
        <v>473</v>
      </c>
      <c r="B7" s="12">
        <f ca="1">Sheet1[[#This Row],[Present Years]]-Sheet1[[#This Row],[YOB]]</f>
        <v>22</v>
      </c>
      <c r="C7">
        <v>98</v>
      </c>
      <c r="D7">
        <f>YEAR(Sheet1[[#This Row],[DOB]])</f>
        <v>2004</v>
      </c>
      <c r="E7" s="11" t="str">
        <f>TEXT(Sheet1[[#This Row],[DOB]],"dddd")</f>
        <v>Tuesday</v>
      </c>
      <c r="F7" s="13" t="str">
        <f>TEXT(Sheet1[[#This Row],[DOB]],"mmm")</f>
        <v>Aug</v>
      </c>
      <c r="G7" s="14">
        <v>38223</v>
      </c>
      <c r="H7" s="14">
        <f ca="1">TODAY()</f>
        <v>46317</v>
      </c>
      <c r="I7" s="14" t="str">
        <f ca="1">TEXT(Sheet1[[#This Row],[Present Age]],"dddd")</f>
        <v>Thursday</v>
      </c>
      <c r="J7" s="11">
        <f ca="1">YEAR(Sheet1[[#This Row],[Present Age]])</f>
        <v>2026</v>
      </c>
      <c r="K7" s="11" t="str">
        <f ca="1">TEXT(Sheet1[[#This Row],[Present Age]],"MMMM")</f>
        <v>October</v>
      </c>
    </row>
    <row r="8" spans="1:11" x14ac:dyDescent="0.35">
      <c r="A8" s="11" t="s">
        <v>474</v>
      </c>
      <c r="B8" s="12">
        <f ca="1">Sheet1[[#This Row],[Present Years]]-Sheet1[[#This Row],[YOB]]</f>
        <v>23</v>
      </c>
      <c r="C8">
        <v>73</v>
      </c>
      <c r="D8">
        <f>YEAR(Sheet1[[#This Row],[DOB]])</f>
        <v>2003</v>
      </c>
      <c r="E8" s="11" t="str">
        <f>TEXT(Sheet1[[#This Row],[DOB]],"dddd")</f>
        <v>Thursday</v>
      </c>
      <c r="F8" s="13" t="str">
        <f>TEXT(Sheet1[[#This Row],[DOB]],"mmm")</f>
        <v>Jul</v>
      </c>
      <c r="G8" s="14">
        <v>37805</v>
      </c>
      <c r="H8" s="14">
        <f ca="1">TODAY()</f>
        <v>46317</v>
      </c>
      <c r="I8" s="14" t="str">
        <f ca="1">TEXT(Sheet1[[#This Row],[Present Age]],"dddd")</f>
        <v>Thursday</v>
      </c>
      <c r="J8" s="11">
        <f ca="1">YEAR(Sheet1[[#This Row],[Present Age]])</f>
        <v>2026</v>
      </c>
      <c r="K8" s="11" t="str">
        <f ca="1">TEXT(Sheet1[[#This Row],[Present Age]],"MMMM")</f>
        <v>October</v>
      </c>
    </row>
    <row r="9" spans="1:11" x14ac:dyDescent="0.35">
      <c r="I9" s="14"/>
    </row>
    <row r="14" spans="1:11" x14ac:dyDescent="0.35">
      <c r="C14" s="15">
        <v>24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2D2F-8767-4C1C-A9C4-4546C44A349B}">
  <dimension ref="A3:J13"/>
  <sheetViews>
    <sheetView workbookViewId="0">
      <selection activeCell="G4" sqref="G4"/>
    </sheetView>
  </sheetViews>
  <sheetFormatPr defaultRowHeight="14.5" x14ac:dyDescent="0.35"/>
  <cols>
    <col min="5" max="5" width="16.7265625" customWidth="1"/>
    <col min="6" max="7" width="22.08984375" customWidth="1"/>
    <col min="9" max="9" width="30.453125" customWidth="1"/>
  </cols>
  <sheetData>
    <row r="3" spans="1:10" x14ac:dyDescent="0.35">
      <c r="A3" s="17" t="s">
        <v>484</v>
      </c>
      <c r="B3" s="17" t="s">
        <v>485</v>
      </c>
      <c r="C3" s="17" t="s">
        <v>486</v>
      </c>
      <c r="D3" s="17" t="s">
        <v>487</v>
      </c>
      <c r="E3" s="17" t="s">
        <v>488</v>
      </c>
      <c r="F3" s="17" t="s">
        <v>489</v>
      </c>
      <c r="G3" s="19" t="s">
        <v>497</v>
      </c>
    </row>
    <row r="4" spans="1:10" x14ac:dyDescent="0.35">
      <c r="A4" s="3">
        <v>10</v>
      </c>
      <c r="B4" s="3">
        <v>2</v>
      </c>
      <c r="C4" s="3">
        <f>A4+B4</f>
        <v>12</v>
      </c>
      <c r="D4" s="3">
        <f>A4-B4</f>
        <v>8</v>
      </c>
      <c r="E4" s="3">
        <f>A4*B4</f>
        <v>20</v>
      </c>
      <c r="F4" s="3">
        <f>A4/B4</f>
        <v>5</v>
      </c>
      <c r="G4" t="b">
        <f>A4&gt;B4</f>
        <v>1</v>
      </c>
    </row>
    <row r="5" spans="1:10" x14ac:dyDescent="0.35">
      <c r="A5" s="3">
        <f>A4+2</f>
        <v>12</v>
      </c>
      <c r="B5" s="3">
        <f>B4+1</f>
        <v>3</v>
      </c>
      <c r="C5" s="3">
        <f>SUM(A5:B5)</f>
        <v>15</v>
      </c>
      <c r="D5" s="3">
        <f>A5-B5</f>
        <v>9</v>
      </c>
      <c r="E5" s="3">
        <f>A5*B5</f>
        <v>36</v>
      </c>
      <c r="F5" s="3">
        <f t="shared" ref="F5:F13" si="0">A5/B5</f>
        <v>4</v>
      </c>
      <c r="G5" t="b">
        <f>A5&gt;B5</f>
        <v>1</v>
      </c>
    </row>
    <row r="6" spans="1:10" x14ac:dyDescent="0.35">
      <c r="A6" s="3">
        <f t="shared" ref="A6:A12" si="1">A5+2</f>
        <v>14</v>
      </c>
      <c r="B6" s="3">
        <f t="shared" ref="B6:B12" si="2">B5+1</f>
        <v>4</v>
      </c>
      <c r="C6" s="3">
        <f t="shared" ref="C6:C13" si="3">SUM(A6:B6)</f>
        <v>18</v>
      </c>
      <c r="D6" s="3">
        <f t="shared" ref="D6:D13" si="4">A6-B6</f>
        <v>10</v>
      </c>
      <c r="E6" s="3">
        <f t="shared" ref="E6:E13" si="5">A6*B6</f>
        <v>56</v>
      </c>
      <c r="F6" s="3">
        <f t="shared" si="0"/>
        <v>3.5</v>
      </c>
      <c r="G6" t="b">
        <f t="shared" ref="G6:G12" si="6">A6&gt;B6</f>
        <v>1</v>
      </c>
      <c r="I6" s="16" t="s">
        <v>496</v>
      </c>
    </row>
    <row r="7" spans="1:10" x14ac:dyDescent="0.35">
      <c r="A7" s="3">
        <f t="shared" si="1"/>
        <v>16</v>
      </c>
      <c r="B7" s="3">
        <f t="shared" si="2"/>
        <v>5</v>
      </c>
      <c r="C7" s="3">
        <f t="shared" si="3"/>
        <v>21</v>
      </c>
      <c r="D7" s="3">
        <f t="shared" si="4"/>
        <v>11</v>
      </c>
      <c r="E7" s="3">
        <f t="shared" si="5"/>
        <v>80</v>
      </c>
      <c r="F7" s="3">
        <f t="shared" si="0"/>
        <v>3.2</v>
      </c>
      <c r="G7" t="b">
        <f t="shared" si="6"/>
        <v>1</v>
      </c>
      <c r="I7" s="17" t="s">
        <v>490</v>
      </c>
      <c r="J7" s="17">
        <f>COUNT(A4:A12)</f>
        <v>9</v>
      </c>
    </row>
    <row r="8" spans="1:10" x14ac:dyDescent="0.35">
      <c r="A8" s="3">
        <f t="shared" si="1"/>
        <v>18</v>
      </c>
      <c r="B8" s="3">
        <f t="shared" si="2"/>
        <v>6</v>
      </c>
      <c r="C8" s="3">
        <f t="shared" si="3"/>
        <v>24</v>
      </c>
      <c r="D8" s="3">
        <f t="shared" si="4"/>
        <v>12</v>
      </c>
      <c r="E8" s="3">
        <f t="shared" si="5"/>
        <v>108</v>
      </c>
      <c r="F8" s="3">
        <f t="shared" si="0"/>
        <v>3</v>
      </c>
      <c r="G8" t="b">
        <f t="shared" si="6"/>
        <v>1</v>
      </c>
      <c r="I8" s="17" t="s">
        <v>491</v>
      </c>
      <c r="J8" s="17">
        <f>COUNT(B4:B12)</f>
        <v>9</v>
      </c>
    </row>
    <row r="9" spans="1:10" x14ac:dyDescent="0.35">
      <c r="A9" s="3">
        <f t="shared" si="1"/>
        <v>20</v>
      </c>
      <c r="B9" s="3">
        <f t="shared" si="2"/>
        <v>7</v>
      </c>
      <c r="C9" s="3">
        <f t="shared" si="3"/>
        <v>27</v>
      </c>
      <c r="D9" s="3">
        <f t="shared" si="4"/>
        <v>13</v>
      </c>
      <c r="E9" s="3">
        <f t="shared" si="5"/>
        <v>140</v>
      </c>
      <c r="F9" s="3">
        <f t="shared" si="0"/>
        <v>2.8571428571428572</v>
      </c>
      <c r="G9" t="b">
        <f t="shared" si="6"/>
        <v>1</v>
      </c>
      <c r="I9" s="17" t="s">
        <v>492</v>
      </c>
      <c r="J9" s="17">
        <f>AVERAGE(A4:A12)</f>
        <v>18</v>
      </c>
    </row>
    <row r="10" spans="1:10" x14ac:dyDescent="0.35">
      <c r="A10" s="3">
        <f t="shared" si="1"/>
        <v>22</v>
      </c>
      <c r="B10" s="3">
        <f t="shared" si="2"/>
        <v>8</v>
      </c>
      <c r="C10" s="3">
        <f t="shared" si="3"/>
        <v>30</v>
      </c>
      <c r="D10" s="3">
        <f t="shared" si="4"/>
        <v>14</v>
      </c>
      <c r="E10" s="3">
        <f t="shared" si="5"/>
        <v>176</v>
      </c>
      <c r="F10" s="3">
        <f t="shared" si="0"/>
        <v>2.75</v>
      </c>
      <c r="G10" t="b">
        <f t="shared" si="6"/>
        <v>1</v>
      </c>
      <c r="I10" s="17" t="s">
        <v>493</v>
      </c>
      <c r="J10" s="17">
        <f>AVERAGE(B4:B12)</f>
        <v>6</v>
      </c>
    </row>
    <row r="11" spans="1:10" x14ac:dyDescent="0.35">
      <c r="A11" s="3">
        <f t="shared" si="1"/>
        <v>24</v>
      </c>
      <c r="B11" s="3">
        <f t="shared" si="2"/>
        <v>9</v>
      </c>
      <c r="C11" s="3">
        <f t="shared" si="3"/>
        <v>33</v>
      </c>
      <c r="D11" s="3">
        <f t="shared" si="4"/>
        <v>15</v>
      </c>
      <c r="E11" s="3">
        <f t="shared" si="5"/>
        <v>216</v>
      </c>
      <c r="F11" s="3">
        <f t="shared" si="0"/>
        <v>2.6666666666666665</v>
      </c>
      <c r="G11" t="b">
        <f t="shared" si="6"/>
        <v>1</v>
      </c>
      <c r="I11" s="17" t="s">
        <v>494</v>
      </c>
      <c r="J11" s="17">
        <f>MAX(A4:A12)</f>
        <v>26</v>
      </c>
    </row>
    <row r="12" spans="1:10" x14ac:dyDescent="0.35">
      <c r="A12" s="3">
        <f t="shared" si="1"/>
        <v>26</v>
      </c>
      <c r="B12" s="3">
        <f t="shared" si="2"/>
        <v>10</v>
      </c>
      <c r="C12" s="3">
        <f t="shared" si="3"/>
        <v>36</v>
      </c>
      <c r="D12" s="3">
        <f t="shared" si="4"/>
        <v>16</v>
      </c>
      <c r="E12" s="3">
        <f t="shared" si="5"/>
        <v>260</v>
      </c>
      <c r="F12" s="3">
        <f t="shared" si="0"/>
        <v>2.6</v>
      </c>
      <c r="G12" t="b">
        <f t="shared" si="6"/>
        <v>1</v>
      </c>
      <c r="I12" s="17" t="s">
        <v>495</v>
      </c>
      <c r="J12" s="17">
        <f>MIN(B4:B12)</f>
        <v>2</v>
      </c>
    </row>
    <row r="13" spans="1:10" x14ac:dyDescent="0.35">
      <c r="A13" s="18">
        <f>SUM(A4:A12)</f>
        <v>162</v>
      </c>
      <c r="B13" s="18">
        <f>SUM(B4:B12)</f>
        <v>54</v>
      </c>
      <c r="C13" s="18">
        <f t="shared" si="3"/>
        <v>216</v>
      </c>
      <c r="D13" s="18">
        <f t="shared" si="4"/>
        <v>108</v>
      </c>
      <c r="E13" s="18">
        <f t="shared" si="5"/>
        <v>8748</v>
      </c>
      <c r="F13" s="18">
        <f t="shared" si="0"/>
        <v>3</v>
      </c>
      <c r="G1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79DC-2A9E-400F-AC0F-185FAA96E537}">
  <dimension ref="A1:J41"/>
  <sheetViews>
    <sheetView topLeftCell="A26" workbookViewId="0">
      <selection activeCell="E41" sqref="E41"/>
    </sheetView>
  </sheetViews>
  <sheetFormatPr defaultRowHeight="14.5" x14ac:dyDescent="0.35"/>
  <cols>
    <col min="1" max="1" width="12.08984375" customWidth="1"/>
    <col min="2" max="2" width="12.7265625" customWidth="1"/>
    <col min="3" max="3" width="17" customWidth="1"/>
    <col min="4" max="4" width="13.81640625" customWidth="1"/>
    <col min="5" max="5" width="19.26953125" customWidth="1"/>
    <col min="6" max="6" width="21.08984375" customWidth="1"/>
    <col min="7" max="7" width="20.6328125" customWidth="1"/>
    <col min="8" max="8" width="23.1796875" customWidth="1"/>
    <col min="9" max="9" width="15.1796875" customWidth="1"/>
    <col min="10" max="10" width="13.26953125" customWidth="1"/>
  </cols>
  <sheetData>
    <row r="1" spans="1:10" ht="18.5" x14ac:dyDescent="0.4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37</v>
      </c>
      <c r="G1" s="5" t="s">
        <v>38</v>
      </c>
      <c r="H1" s="5" t="s">
        <v>36</v>
      </c>
      <c r="I1" s="5" t="s">
        <v>39</v>
      </c>
    </row>
    <row r="2" spans="1:10" x14ac:dyDescent="0.35">
      <c r="A2" t="s">
        <v>40</v>
      </c>
      <c r="B2" t="s">
        <v>17</v>
      </c>
      <c r="C2" t="s">
        <v>28</v>
      </c>
      <c r="D2" t="s">
        <v>32</v>
      </c>
      <c r="E2" t="str">
        <f>_xlfn.TEXTJOIN("$",FALSE,A2,B2)</f>
        <v>Jay$Sharma</v>
      </c>
      <c r="F2">
        <v>900000</v>
      </c>
      <c r="G2">
        <f>F2/12</f>
        <v>75000</v>
      </c>
      <c r="H2">
        <f>0.1*G2</f>
        <v>7500</v>
      </c>
      <c r="I2">
        <f>0.6*G2</f>
        <v>45000</v>
      </c>
    </row>
    <row r="3" spans="1:10" x14ac:dyDescent="0.35">
      <c r="A3" t="s">
        <v>19</v>
      </c>
      <c r="B3" t="s">
        <v>18</v>
      </c>
      <c r="C3" t="s">
        <v>29</v>
      </c>
      <c r="D3" t="s">
        <v>35</v>
      </c>
      <c r="E3" t="str">
        <f t="shared" ref="E3:E7" si="0">_xlfn.TEXTJOIN("$",FALSE,A3,B3)</f>
        <v>Raj$Kamal</v>
      </c>
      <c r="F3">
        <v>840000</v>
      </c>
      <c r="G3">
        <f t="shared" ref="G3:G7" si="1">F3/12</f>
        <v>70000</v>
      </c>
      <c r="H3">
        <f t="shared" ref="H3:H7" si="2">0.1*G3</f>
        <v>7000</v>
      </c>
      <c r="I3">
        <f t="shared" ref="I3:I7" si="3">0.6*G3</f>
        <v>42000</v>
      </c>
    </row>
    <row r="4" spans="1:10" x14ac:dyDescent="0.35">
      <c r="A4" t="s">
        <v>20</v>
      </c>
      <c r="B4" t="s">
        <v>21</v>
      </c>
      <c r="C4" t="s">
        <v>30</v>
      </c>
      <c r="D4" t="s">
        <v>32</v>
      </c>
      <c r="E4" t="str">
        <f t="shared" si="0"/>
        <v>Bhushan$Chaudhary</v>
      </c>
      <c r="F4">
        <v>1200000</v>
      </c>
      <c r="G4">
        <f t="shared" si="1"/>
        <v>100000</v>
      </c>
      <c r="H4">
        <f t="shared" si="2"/>
        <v>10000</v>
      </c>
      <c r="I4">
        <f t="shared" si="3"/>
        <v>60000</v>
      </c>
    </row>
    <row r="5" spans="1:10" x14ac:dyDescent="0.35">
      <c r="A5" t="s">
        <v>22</v>
      </c>
      <c r="B5" t="s">
        <v>23</v>
      </c>
      <c r="C5" t="s">
        <v>29</v>
      </c>
      <c r="D5" t="s">
        <v>33</v>
      </c>
      <c r="E5" t="str">
        <f t="shared" si="0"/>
        <v>Sanjay$Jha</v>
      </c>
      <c r="F5">
        <v>900000</v>
      </c>
      <c r="G5">
        <f t="shared" si="1"/>
        <v>75000</v>
      </c>
      <c r="H5">
        <f t="shared" si="2"/>
        <v>7500</v>
      </c>
      <c r="I5">
        <f t="shared" si="3"/>
        <v>45000</v>
      </c>
    </row>
    <row r="6" spans="1:10" x14ac:dyDescent="0.35">
      <c r="A6" t="s">
        <v>24</v>
      </c>
      <c r="B6" t="s">
        <v>25</v>
      </c>
      <c r="C6" t="s">
        <v>30</v>
      </c>
      <c r="D6" t="s">
        <v>34</v>
      </c>
      <c r="E6" t="str">
        <f t="shared" si="0"/>
        <v>Karan$Saxsena</v>
      </c>
      <c r="F6">
        <v>1400000</v>
      </c>
      <c r="G6">
        <f t="shared" si="1"/>
        <v>116666.66666666667</v>
      </c>
      <c r="H6">
        <f t="shared" si="2"/>
        <v>11666.666666666668</v>
      </c>
      <c r="I6">
        <f t="shared" si="3"/>
        <v>70000</v>
      </c>
    </row>
    <row r="7" spans="1:10" x14ac:dyDescent="0.35">
      <c r="A7" t="s">
        <v>26</v>
      </c>
      <c r="B7" t="s">
        <v>27</v>
      </c>
      <c r="C7" t="s">
        <v>31</v>
      </c>
      <c r="D7" t="s">
        <v>35</v>
      </c>
      <c r="E7" t="str">
        <f t="shared" si="0"/>
        <v>Kiran$Rajawat</v>
      </c>
      <c r="F7">
        <v>875000</v>
      </c>
      <c r="G7">
        <f t="shared" si="1"/>
        <v>72916.666666666672</v>
      </c>
      <c r="H7">
        <f t="shared" si="2"/>
        <v>7291.6666666666679</v>
      </c>
      <c r="I7">
        <f t="shared" si="3"/>
        <v>43750</v>
      </c>
    </row>
    <row r="10" spans="1:10" x14ac:dyDescent="0.35">
      <c r="E10" s="9" t="s">
        <v>46</v>
      </c>
      <c r="F10" s="8" t="s">
        <v>41</v>
      </c>
      <c r="G10" s="8" t="s">
        <v>42</v>
      </c>
      <c r="H10" s="8" t="s">
        <v>43</v>
      </c>
      <c r="I10" s="8" t="s">
        <v>44</v>
      </c>
      <c r="J10" s="8" t="s">
        <v>45</v>
      </c>
    </row>
    <row r="11" spans="1:10" x14ac:dyDescent="0.35">
      <c r="B11" s="10" t="s">
        <v>15</v>
      </c>
      <c r="C11" s="10" t="s">
        <v>46</v>
      </c>
      <c r="E11" s="6" t="s">
        <v>28</v>
      </c>
      <c r="F11" s="3">
        <f>SUMIF(C2:C7,E11,F2:F7)</f>
        <v>900000</v>
      </c>
      <c r="G11" s="3">
        <f>AVERAGEIF(C2:C7,"Data Engineer",F2:F7)</f>
        <v>900000</v>
      </c>
      <c r="H11" s="3">
        <f>_xlfn.MAXIFS(F2:F7,C2:C7,C2)</f>
        <v>900000</v>
      </c>
      <c r="I11" s="3">
        <f>_xlfn.MINIFS(F2:F7,C2:C7,"Data Engineer")</f>
        <v>900000</v>
      </c>
      <c r="J11" s="3">
        <f>COUNTIF(C2:C7,C2)</f>
        <v>1</v>
      </c>
    </row>
    <row r="12" spans="1:10" x14ac:dyDescent="0.35">
      <c r="B12" s="3" t="str" cm="1">
        <f t="array" ref="B12:B15">_xlfn.UNIQUE(D2:D7)</f>
        <v>Bangalore</v>
      </c>
      <c r="C12" s="3"/>
      <c r="E12" s="6" t="s">
        <v>29</v>
      </c>
      <c r="F12" s="3">
        <f>SUMIF(C2:C7,"Data Analyst",F2:F7)</f>
        <v>1740000</v>
      </c>
      <c r="G12" s="3">
        <f>AVERAGEIF(C2:C7,"Data Analyst",F2:F7)</f>
        <v>870000</v>
      </c>
      <c r="H12" s="3">
        <f>_xlfn.MAXIFS(F2:F7,C2:C7,"Data Analyst")</f>
        <v>900000</v>
      </c>
      <c r="I12" s="3">
        <f>_xlfn.MINIFS(F2:F7,C2:C7,E12)</f>
        <v>840000</v>
      </c>
      <c r="J12" s="3">
        <f>COUNTIF(C2:C7,"Data Analyst")</f>
        <v>2</v>
      </c>
    </row>
    <row r="13" spans="1:10" x14ac:dyDescent="0.35">
      <c r="B13" s="3" t="str">
        <v>Hyderabad</v>
      </c>
      <c r="C13" s="3"/>
      <c r="E13" s="6" t="s">
        <v>30</v>
      </c>
      <c r="F13" s="3"/>
      <c r="G13" s="3"/>
      <c r="H13" s="3">
        <f>_xlfn.MAXIFS(F2:F7,C2:C7,"Data Scientist")</f>
        <v>1400000</v>
      </c>
      <c r="I13" s="3">
        <f>_xlfn.MINIFS(F2:F7,C2:C7,E13)</f>
        <v>1200000</v>
      </c>
      <c r="J13" s="3">
        <f>COUNTIF(C2:C7,E13)</f>
        <v>2</v>
      </c>
    </row>
    <row r="14" spans="1:10" x14ac:dyDescent="0.35">
      <c r="B14" s="3" t="str">
        <v>Gurgaon</v>
      </c>
      <c r="C14" s="3"/>
      <c r="E14" s="6" t="s">
        <v>31</v>
      </c>
      <c r="F14" s="3"/>
      <c r="G14" s="3"/>
      <c r="H14" s="3">
        <f>_xlfn.MAXIFS(F2:F7,C2:C7,E14)</f>
        <v>875000</v>
      </c>
      <c r="I14" s="3">
        <f>_xlfn.MINIFS(F2:F7,C2:C7,"Python Developer")</f>
        <v>875000</v>
      </c>
      <c r="J14" s="3">
        <f>COUNTIF(C2:C7,C7)</f>
        <v>1</v>
      </c>
    </row>
    <row r="15" spans="1:10" x14ac:dyDescent="0.35">
      <c r="B15" s="3" t="str">
        <v>Noida</v>
      </c>
      <c r="C15" s="3"/>
    </row>
    <row r="16" spans="1:10" x14ac:dyDescent="0.35">
      <c r="B16" s="3"/>
      <c r="C16" s="3"/>
    </row>
    <row r="17" spans="2:9" x14ac:dyDescent="0.35">
      <c r="B17" s="3"/>
      <c r="C17" s="3"/>
      <c r="E17" s="7" t="s">
        <v>43</v>
      </c>
      <c r="F17">
        <f>MAX(F2:F7)</f>
        <v>1400000</v>
      </c>
      <c r="I17">
        <f>_xlfn.MAXIFS(F2:F7,C2:C7,"Data Analyst")</f>
        <v>900000</v>
      </c>
    </row>
    <row r="18" spans="2:9" x14ac:dyDescent="0.35">
      <c r="B18" s="3"/>
      <c r="C18" s="3"/>
    </row>
    <row r="19" spans="2:9" x14ac:dyDescent="0.35">
      <c r="B19" s="3"/>
      <c r="C19" s="3"/>
    </row>
    <row r="21" spans="2:9" x14ac:dyDescent="0.35">
      <c r="E21" t="s">
        <v>47</v>
      </c>
      <c r="F21">
        <f>MODE(F2:F7)</f>
        <v>900000</v>
      </c>
    </row>
    <row r="27" spans="2:9" x14ac:dyDescent="0.35">
      <c r="D27" t="s">
        <v>48</v>
      </c>
    </row>
    <row r="28" spans="2:9" x14ac:dyDescent="0.35">
      <c r="D28">
        <v>22</v>
      </c>
    </row>
    <row r="29" spans="2:9" x14ac:dyDescent="0.35">
      <c r="D29">
        <v>26</v>
      </c>
    </row>
    <row r="30" spans="2:9" x14ac:dyDescent="0.35">
      <c r="D30">
        <v>25</v>
      </c>
    </row>
    <row r="31" spans="2:9" x14ac:dyDescent="0.35">
      <c r="D31">
        <v>36</v>
      </c>
    </row>
    <row r="32" spans="2:9" x14ac:dyDescent="0.35">
      <c r="D32">
        <v>28</v>
      </c>
    </row>
    <row r="33" spans="4:7" x14ac:dyDescent="0.35">
      <c r="D33">
        <v>25</v>
      </c>
    </row>
    <row r="34" spans="4:7" x14ac:dyDescent="0.35">
      <c r="D34">
        <v>25</v>
      </c>
    </row>
    <row r="35" spans="4:7" x14ac:dyDescent="0.35">
      <c r="D35">
        <v>24</v>
      </c>
      <c r="F35" s="10" t="s">
        <v>49</v>
      </c>
      <c r="G35" s="10" t="s">
        <v>50</v>
      </c>
    </row>
    <row r="36" spans="4:7" x14ac:dyDescent="0.35">
      <c r="D36">
        <v>34</v>
      </c>
      <c r="F36" s="3">
        <f>MODE(D28:D36)</f>
        <v>25</v>
      </c>
      <c r="G36" s="3">
        <f>COUNTIF(D28:D36,"25")</f>
        <v>3</v>
      </c>
    </row>
    <row r="41" spans="4:7" x14ac:dyDescent="0.35">
      <c r="E41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715F-9DA1-408B-BE50-5887C4AD0EEE}">
  <dimension ref="A1:F10"/>
  <sheetViews>
    <sheetView topLeftCell="A2" zoomScale="137" workbookViewId="0">
      <selection activeCell="F11" sqref="F11"/>
    </sheetView>
  </sheetViews>
  <sheetFormatPr defaultRowHeight="14.5" x14ac:dyDescent="0.35"/>
  <cols>
    <col min="1" max="1" width="22.7265625" customWidth="1"/>
    <col min="2" max="2" width="11.6328125" customWidth="1"/>
    <col min="3" max="3" width="13.7265625" customWidth="1"/>
    <col min="4" max="4" width="14.90625" customWidth="1"/>
    <col min="5" max="5" width="21.54296875" customWidth="1"/>
    <col min="6" max="6" width="18.26953125" customWidth="1"/>
  </cols>
  <sheetData>
    <row r="1" spans="1:6" ht="21" x14ac:dyDescent="0.35">
      <c r="A1" s="21" t="s">
        <v>498</v>
      </c>
      <c r="B1" s="21" t="s">
        <v>499</v>
      </c>
      <c r="C1" s="21" t="s">
        <v>500</v>
      </c>
      <c r="D1" s="21" t="s">
        <v>501</v>
      </c>
      <c r="E1" s="23" t="s">
        <v>502</v>
      </c>
      <c r="F1" s="21" t="s">
        <v>503</v>
      </c>
    </row>
    <row r="2" spans="1:6" x14ac:dyDescent="0.35">
      <c r="A2" t="s">
        <v>504</v>
      </c>
      <c r="B2">
        <v>89</v>
      </c>
      <c r="C2">
        <v>78</v>
      </c>
      <c r="D2">
        <v>74</v>
      </c>
      <c r="E2">
        <f>SUM(Ricky_Pointing_Marks)</f>
        <v>241</v>
      </c>
      <c r="F2">
        <f>(Total_Marks_of_Ricky_Pointing/300)*100</f>
        <v>80.333333333333329</v>
      </c>
    </row>
    <row r="3" spans="1:6" x14ac:dyDescent="0.35">
      <c r="A3" t="s">
        <v>505</v>
      </c>
      <c r="B3">
        <v>86</v>
      </c>
      <c r="C3">
        <v>89</v>
      </c>
      <c r="D3">
        <v>84</v>
      </c>
      <c r="E3">
        <f>SUM(Andrew_Simonds_Marks)</f>
        <v>259</v>
      </c>
      <c r="F3">
        <f>Total_Marks_of_Andrew_Simonds/300*100</f>
        <v>86.333333333333329</v>
      </c>
    </row>
    <row r="4" spans="1:6" x14ac:dyDescent="0.35">
      <c r="A4" t="s">
        <v>506</v>
      </c>
      <c r="B4">
        <v>85</v>
      </c>
      <c r="C4">
        <v>98</v>
      </c>
      <c r="D4">
        <v>92</v>
      </c>
      <c r="E4">
        <f>SUM(Virat_Kohli_Marks)</f>
        <v>275</v>
      </c>
      <c r="F4">
        <f>E4/300*100</f>
        <v>91.666666666666657</v>
      </c>
    </row>
    <row r="5" spans="1:6" x14ac:dyDescent="0.35">
      <c r="A5" t="s">
        <v>507</v>
      </c>
      <c r="B5">
        <v>79</v>
      </c>
      <c r="C5">
        <v>76</v>
      </c>
      <c r="D5">
        <v>73</v>
      </c>
      <c r="E5">
        <f>SUM(Zaheer_Khan_Marks)</f>
        <v>228</v>
      </c>
      <c r="F5">
        <f t="shared" ref="F5:F9" si="0">E5/300*100</f>
        <v>76</v>
      </c>
    </row>
    <row r="6" spans="1:6" x14ac:dyDescent="0.35">
      <c r="A6" t="s">
        <v>508</v>
      </c>
      <c r="B6">
        <v>79</v>
      </c>
      <c r="C6">
        <v>87</v>
      </c>
      <c r="D6">
        <v>64</v>
      </c>
      <c r="E6">
        <f>SUM(Virendra_Sehwag_Marks)</f>
        <v>230</v>
      </c>
      <c r="F6">
        <f t="shared" si="0"/>
        <v>76.666666666666671</v>
      </c>
    </row>
    <row r="7" spans="1:6" x14ac:dyDescent="0.35">
      <c r="A7" t="s">
        <v>509</v>
      </c>
      <c r="B7">
        <v>93</v>
      </c>
      <c r="C7">
        <v>74</v>
      </c>
      <c r="D7">
        <v>61</v>
      </c>
      <c r="E7">
        <f>SUM(Anil_Kumble_Marks)</f>
        <v>228</v>
      </c>
      <c r="F7">
        <f>TOTAL_MARKS_OF_ANIL_KUMBALE/300*100</f>
        <v>76</v>
      </c>
    </row>
    <row r="8" spans="1:6" x14ac:dyDescent="0.35">
      <c r="A8" t="s">
        <v>510</v>
      </c>
      <c r="B8">
        <v>85</v>
      </c>
      <c r="C8">
        <v>82</v>
      </c>
      <c r="D8">
        <v>56</v>
      </c>
      <c r="E8">
        <f>SUM(Sanath_Jaysuriya_Marks)</f>
        <v>223</v>
      </c>
      <c r="F8">
        <f>E8/300*100</f>
        <v>74.333333333333329</v>
      </c>
    </row>
    <row r="9" spans="1:6" x14ac:dyDescent="0.35">
      <c r="A9" t="s">
        <v>511</v>
      </c>
      <c r="B9">
        <v>82</v>
      </c>
      <c r="C9">
        <v>84</v>
      </c>
      <c r="D9">
        <v>38</v>
      </c>
      <c r="E9">
        <f>SUM(Brian_Lara_Marks)</f>
        <v>204</v>
      </c>
      <c r="F9">
        <f t="shared" si="0"/>
        <v>68</v>
      </c>
    </row>
    <row r="10" spans="1:6" x14ac:dyDescent="0.35">
      <c r="A10" s="20" t="s">
        <v>512</v>
      </c>
      <c r="B10" s="22">
        <f>SUM(B2:B9)</f>
        <v>678</v>
      </c>
      <c r="C10" s="22">
        <f>SUM(C2:C9)</f>
        <v>668</v>
      </c>
      <c r="D10" s="22">
        <f>SUM(D2:D9)</f>
        <v>542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73E6-828E-4439-A36A-37C0EB7C9B21}">
  <dimension ref="A1:E11"/>
  <sheetViews>
    <sheetView tabSelected="1" workbookViewId="0">
      <selection activeCell="G9" sqref="G9"/>
    </sheetView>
  </sheetViews>
  <sheetFormatPr defaultRowHeight="14.5" x14ac:dyDescent="0.35"/>
  <cols>
    <col min="1" max="1" width="22.90625" customWidth="1"/>
    <col min="2" max="2" width="13.54296875" customWidth="1"/>
    <col min="3" max="3" width="14.54296875" customWidth="1"/>
    <col min="4" max="4" width="13.7265625" customWidth="1"/>
    <col min="5" max="5" width="14.1796875" customWidth="1"/>
  </cols>
  <sheetData>
    <row r="1" spans="1:5" ht="25.5" customHeight="1" x14ac:dyDescent="0.5">
      <c r="A1" s="24" t="s">
        <v>513</v>
      </c>
      <c r="B1" s="24" t="s">
        <v>52</v>
      </c>
      <c r="C1" s="24" t="s">
        <v>514</v>
      </c>
      <c r="D1" s="24" t="s">
        <v>515</v>
      </c>
      <c r="E1" s="24" t="s">
        <v>516</v>
      </c>
    </row>
    <row r="2" spans="1:5" x14ac:dyDescent="0.35">
      <c r="A2" t="s">
        <v>517</v>
      </c>
      <c r="B2" t="s">
        <v>518</v>
      </c>
      <c r="C2">
        <v>15</v>
      </c>
      <c r="D2">
        <v>10</v>
      </c>
      <c r="E2">
        <f>C2*D2</f>
        <v>150</v>
      </c>
    </row>
    <row r="3" spans="1:5" x14ac:dyDescent="0.35">
      <c r="A3" t="s">
        <v>519</v>
      </c>
      <c r="B3" t="s">
        <v>518</v>
      </c>
      <c r="C3">
        <v>8</v>
      </c>
      <c r="D3">
        <v>40</v>
      </c>
      <c r="E3">
        <f>C3*D3</f>
        <v>320</v>
      </c>
    </row>
    <row r="4" spans="1:5" x14ac:dyDescent="0.35">
      <c r="A4" t="s">
        <v>520</v>
      </c>
      <c r="B4" t="s">
        <v>518</v>
      </c>
      <c r="C4">
        <v>20</v>
      </c>
      <c r="D4">
        <v>5</v>
      </c>
      <c r="E4">
        <f t="shared" ref="E4:E11" si="0">C4*D4</f>
        <v>100</v>
      </c>
    </row>
    <row r="5" spans="1:5" x14ac:dyDescent="0.35">
      <c r="A5" t="s">
        <v>521</v>
      </c>
      <c r="B5" t="s">
        <v>528</v>
      </c>
      <c r="C5">
        <v>5</v>
      </c>
      <c r="D5">
        <v>350</v>
      </c>
      <c r="E5">
        <f t="shared" si="0"/>
        <v>1750</v>
      </c>
    </row>
    <row r="6" spans="1:5" x14ac:dyDescent="0.35">
      <c r="A6" t="s">
        <v>522</v>
      </c>
      <c r="B6" t="s">
        <v>528</v>
      </c>
      <c r="C6">
        <v>12</v>
      </c>
      <c r="D6">
        <v>60</v>
      </c>
      <c r="E6">
        <f t="shared" si="0"/>
        <v>720</v>
      </c>
    </row>
    <row r="7" spans="1:5" x14ac:dyDescent="0.35">
      <c r="A7" t="s">
        <v>523</v>
      </c>
      <c r="B7" t="s">
        <v>518</v>
      </c>
      <c r="C7">
        <v>25</v>
      </c>
      <c r="D7">
        <v>3</v>
      </c>
      <c r="E7">
        <f t="shared" si="0"/>
        <v>75</v>
      </c>
    </row>
    <row r="8" spans="1:5" x14ac:dyDescent="0.35">
      <c r="A8" t="s">
        <v>524</v>
      </c>
      <c r="B8" t="s">
        <v>518</v>
      </c>
      <c r="C8">
        <v>10</v>
      </c>
      <c r="D8">
        <v>15</v>
      </c>
      <c r="E8">
        <f t="shared" si="0"/>
        <v>150</v>
      </c>
    </row>
    <row r="9" spans="1:5" x14ac:dyDescent="0.35">
      <c r="A9" t="s">
        <v>525</v>
      </c>
      <c r="B9" t="s">
        <v>528</v>
      </c>
      <c r="C9">
        <v>6</v>
      </c>
      <c r="D9">
        <v>120</v>
      </c>
      <c r="E9">
        <f t="shared" si="0"/>
        <v>720</v>
      </c>
    </row>
    <row r="10" spans="1:5" x14ac:dyDescent="0.35">
      <c r="A10" t="s">
        <v>526</v>
      </c>
      <c r="B10" t="s">
        <v>518</v>
      </c>
      <c r="C10">
        <v>7</v>
      </c>
      <c r="D10">
        <v>90</v>
      </c>
      <c r="E10">
        <f t="shared" si="0"/>
        <v>630</v>
      </c>
    </row>
    <row r="11" spans="1:5" x14ac:dyDescent="0.35">
      <c r="A11" t="s">
        <v>527</v>
      </c>
      <c r="B11" t="s">
        <v>518</v>
      </c>
      <c r="C11">
        <v>18</v>
      </c>
      <c r="D11">
        <v>25</v>
      </c>
      <c r="E11">
        <f t="shared" si="0"/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1B603-F9EC-4B76-AFDE-C07D548E0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day-1</vt:lpstr>
      <vt:lpstr>product</vt:lpstr>
      <vt:lpstr>Sheet1</vt:lpstr>
      <vt:lpstr>Arithmetic Operations</vt:lpstr>
      <vt:lpstr>day-2</vt:lpstr>
      <vt:lpstr>Named Ranges</vt:lpstr>
      <vt:lpstr>Sheet3</vt:lpstr>
      <vt:lpstr>Andrew_Simonds_Marks</vt:lpstr>
      <vt:lpstr>Anil_Kumble_Marks</vt:lpstr>
      <vt:lpstr>Brian_Lara_Marks</vt:lpstr>
      <vt:lpstr>English</vt:lpstr>
      <vt:lpstr>Maths</vt:lpstr>
      <vt:lpstr>Ricky_Pointing_Marks</vt:lpstr>
      <vt:lpstr>Sanath_Jaysuriya_Marks</vt:lpstr>
      <vt:lpstr>Science</vt:lpstr>
      <vt:lpstr>STUDENT_NAME</vt:lpstr>
      <vt:lpstr>Total_Marks_of_Andrew_Simonds</vt:lpstr>
      <vt:lpstr>TOTAL_MARKS_OF_ANIL_KUMBALE</vt:lpstr>
      <vt:lpstr>Total_Marks_of_Ricky_Pointing</vt:lpstr>
      <vt:lpstr>Virat_Kohli_Marks</vt:lpstr>
      <vt:lpstr>Virendra_Sehwag_Marks</vt:lpstr>
      <vt:lpstr>Zaheer_Khan_Marks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Pande</dc:creator>
  <cp:lastModifiedBy>Hitesh Pande</cp:lastModifiedBy>
  <dcterms:created xsi:type="dcterms:W3CDTF">2026-10-12T01:41:59Z</dcterms:created>
  <dcterms:modified xsi:type="dcterms:W3CDTF">2026-10-22T02:58:30Z</dcterms:modified>
</cp:coreProperties>
</file>